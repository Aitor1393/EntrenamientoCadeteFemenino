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Partidos" sheetId="2" state="visible" r:id="rId4"/>
    <sheet name="Minutos" sheetId="3" state="visible" r:id="rId5"/>
    <sheet name="Test físico" sheetId="4" state="visible" r:id="rId6"/>
    <sheet name="Test técnico" sheetId="5" state="visible" r:id="rId7"/>
    <sheet name="Panel" sheetId="6" state="visible" r:id="rId8"/>
    <sheet name="RPE" sheetId="7" state="visible" r:id="rId9"/>
    <sheet name="Asistencia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<sst xmlns="http://schemas.openxmlformats.org/spreadsheetml/2006/main" count="497" uniqueCount="176">
  <si>
    <t xml:space="preserve">SEGUIMIENTO DE TEMPORADA 2026/2027</t>
  </si>
  <si>
    <t xml:space="preserve">Cadete Femenino Preferente · Serie B · martes 75 min y viernes 105 min</t>
  </si>
  <si>
    <t xml:space="preserve">CÓMO SE USA</t>
  </si>
  <si>
    <t xml:space="preserve">Solo se escribe en las celdas amarillas con texto azul. El resto son fórmulas y se calculan solas.</t>
  </si>
  <si>
    <t xml:space="preserve">Hoja «Partidos»</t>
  </si>
  <si>
    <t xml:space="preserve">Cinco datos son el mínimo imprescindible y se pueden contar desde el banquillo:</t>
  </si>
  <si>
    <t xml:space="preserve">   1.  Rebotes defensivos capturados por nosotras</t>
  </si>
  <si>
    <t xml:space="preserve">   2.  Rebotes ofensivos que captura el rival  (los dos juntos dan el % de rebote defensivo)</t>
  </si>
  <si>
    <t xml:space="preserve">   3.  Rebotes ofensivos capturados por nosotras</t>
  </si>
  <si>
    <t xml:space="preserve">   4.  Puntos anotados en los primeros 8 segundos de posesión</t>
  </si>
  <si>
    <t xml:space="preserve">   5.  Pérdidas</t>
  </si>
  <si>
    <t xml:space="preserve">Los puntos a favor y en contra salen del acta. Los rebotes defensivos del rival son opcionales:</t>
  </si>
  <si>
    <t xml:space="preserve">sin ellos no se calcula el % de rebote ofensivo, pero el resto de la hoja funciona igual.</t>
  </si>
  <si>
    <t xml:space="preserve">Hoja «Minutos»</t>
  </si>
  <si>
    <t xml:space="preserve">Minutos jugados por cada jugadora. La columna «Partidos &lt; 10 min» vigila el criterio de reparto:</t>
  </si>
  <si>
    <t xml:space="preserve">durante M1 y M2 nadie debería bajar de 10 minutos. En M3 (J19 a J22) ese criterio se relaja.</t>
  </si>
  <si>
    <t xml:space="preserve">La fila «Suma» debe rondar los 200 minutos por partido: sirve para detectar errores de anotación.</t>
  </si>
  <si>
    <t xml:space="preserve">Hojas «Test físico» y «Test técnico»</t>
  </si>
  <si>
    <t xml:space="preserve">Cuatro mediciones: septiembre, enero, marzo y mayo. La columna «Mejora» se calcula sola y ya</t>
  </si>
  <si>
    <t xml:space="preserve">tiene en cuenta si la prueba mejora subiendo (salto, tiros) o bajando (sprint, agilidad, manejo).</t>
  </si>
  <si>
    <t xml:space="preserve">Hoja «Panel»</t>
  </si>
  <si>
    <t xml:space="preserve">Resumen automático. No se escribe nada. Se revisa al cerrar cada bloque: diciembre, marzo y abril.</t>
  </si>
  <si>
    <t xml:space="preserve">OBJETIVOS DE RENDIMIENTO</t>
  </si>
  <si>
    <t xml:space="preserve">Indicador</t>
  </si>
  <si>
    <t xml:space="preserve">Objetivo</t>
  </si>
  <si>
    <t xml:space="preserve">Por qué</t>
  </si>
  <si>
    <t xml:space="preserve">% rebote defensivo</t>
  </si>
  <si>
    <t xml:space="preserve">&gt; 70 %</t>
  </si>
  <si>
    <t xml:space="preserve">Es el arranque del modelo de juego</t>
  </si>
  <si>
    <t xml:space="preserve">Puntos en transición</t>
  </si>
  <si>
    <t xml:space="preserve">&gt; 20 por partido</t>
  </si>
  <si>
    <t xml:space="preserve">Mide si el contraataque existe de verdad</t>
  </si>
  <si>
    <t xml:space="preserve">% rebote ofensivo</t>
  </si>
  <si>
    <t xml:space="preserve">&gt; 30 %</t>
  </si>
  <si>
    <t xml:space="preserve">Segundas opciones</t>
  </si>
  <si>
    <t xml:space="preserve">Pérdidas</t>
  </si>
  <si>
    <t xml:space="preserve">&lt; 18 por partido</t>
  </si>
  <si>
    <t xml:space="preserve">Correr sin control se convierte en pérdidas</t>
  </si>
  <si>
    <t xml:space="preserve">LEYENDA DE COLORES</t>
  </si>
  <si>
    <t xml:space="preserve">Celda a rellenar</t>
  </si>
  <si>
    <t xml:space="preserve">Celda calculada</t>
  </si>
  <si>
    <t xml:space="preserve">Las fechas asumen que se juega en sábado. Confírmalas con el calendario oficial de la FBM tras el sorteo.</t>
  </si>
  <si>
    <t xml:space="preserve">REGISTRO DE PARTIDOS</t>
  </si>
  <si>
    <t xml:space="preserve">Rellena solo las celdas amarillas. Fila 5 = ejemplo, bórrala cuando empieces.</t>
  </si>
  <si>
    <t xml:space="preserve">Jornada</t>
  </si>
  <si>
    <t xml:space="preserve">Fecha</t>
  </si>
  <si>
    <t xml:space="preserve">Rival</t>
  </si>
  <si>
    <t xml:space="preserve">C/F</t>
  </si>
  <si>
    <t xml:space="preserve">PF</t>
  </si>
  <si>
    <t xml:space="preserve">PC</t>
  </si>
  <si>
    <t xml:space="preserve">Dif.</t>
  </si>
  <si>
    <t xml:space="preserve">V/D</t>
  </si>
  <si>
    <t xml:space="preserve">RD
nuestros</t>
  </si>
  <si>
    <t xml:space="preserve">RO
rival</t>
  </si>
  <si>
    <t xml:space="preserve">% Reb
Def</t>
  </si>
  <si>
    <t xml:space="preserve">RO
nuestros</t>
  </si>
  <si>
    <t xml:space="preserve">RD
rival</t>
  </si>
  <si>
    <t xml:space="preserve">% Reb
Of</t>
  </si>
  <si>
    <t xml:space="preserve">Pts
transición</t>
  </si>
  <si>
    <t xml:space="preserve">Notas</t>
  </si>
  <si>
    <t xml:space="preserve">J1</t>
  </si>
  <si>
    <t xml:space="preserve">Ejemplo CB</t>
  </si>
  <si>
    <t xml:space="preserve">C</t>
  </si>
  <si>
    <t xml:space="preserve">Buen rebote, muchas pérdidas en el 3er cuarto</t>
  </si>
  <si>
    <t xml:space="preserve">J2</t>
  </si>
  <si>
    <t xml:space="preserve">J3</t>
  </si>
  <si>
    <t xml:space="preserve">J4</t>
  </si>
  <si>
    <t xml:space="preserve">J5</t>
  </si>
  <si>
    <t xml:space="preserve">J6</t>
  </si>
  <si>
    <t xml:space="preserve">J7</t>
  </si>
  <si>
    <t xml:space="preserve">J8</t>
  </si>
  <si>
    <t xml:space="preserve">J9</t>
  </si>
  <si>
    <t xml:space="preserve">J10</t>
  </si>
  <si>
    <t xml:space="preserve">J11</t>
  </si>
  <si>
    <t xml:space="preserve">J12</t>
  </si>
  <si>
    <t xml:space="preserve">J13</t>
  </si>
  <si>
    <t xml:space="preserve">J14</t>
  </si>
  <si>
    <t xml:space="preserve">J15</t>
  </si>
  <si>
    <t xml:space="preserve">J16</t>
  </si>
  <si>
    <t xml:space="preserve">J17</t>
  </si>
  <si>
    <t xml:space="preserve">J18</t>
  </si>
  <si>
    <t xml:space="preserve">J19</t>
  </si>
  <si>
    <t xml:space="preserve">J20</t>
  </si>
  <si>
    <t xml:space="preserve">J21</t>
  </si>
  <si>
    <t xml:space="preserve">J22</t>
  </si>
  <si>
    <t xml:space="preserve">2ªF-1</t>
  </si>
  <si>
    <t xml:space="preserve">2ªF-2</t>
  </si>
  <si>
    <t xml:space="preserve">2ªF-3</t>
  </si>
  <si>
    <t xml:space="preserve">2ªF-4</t>
  </si>
  <si>
    <t xml:space="preserve">MEDIA 1ª FASE  (J1-J22)   </t>
  </si>
  <si>
    <t xml:space="preserve">MEDIA TEMPORADA   </t>
  </si>
  <si>
    <t xml:space="preserve">RD = rebote defensivo · RO = rebote ofensivo · C/F = casa o fuera. Verde y rojo marcan si se cumple el objetivo del indicador.</t>
  </si>
  <si>
    <t xml:space="preserve">MINUTOS POR JUGADORA</t>
  </si>
  <si>
    <t xml:space="preserve">Criterio: nadie por debajo de 10 minutos durante M1 y M2 (J1 a J18). En M3 (J19-J22) la rotación se acorta.</t>
  </si>
  <si>
    <t xml:space="preserve">Nº</t>
  </si>
  <si>
    <t xml:space="preserve">Jugadora</t>
  </si>
  <si>
    <t xml:space="preserve">Total</t>
  </si>
  <si>
    <t xml:space="preserve">Media</t>
  </si>
  <si>
    <t xml:space="preserve">Partidos</t>
  </si>
  <si>
    <t xml:space="preserve">&lt; 10 min</t>
  </si>
  <si>
    <t xml:space="preserve">Jugadora 1</t>
  </si>
  <si>
    <t xml:space="preserve">Jugadora 2</t>
  </si>
  <si>
    <t xml:space="preserve">Jugadora 3</t>
  </si>
  <si>
    <t xml:space="preserve">Jugadora 4</t>
  </si>
  <si>
    <t xml:space="preserve">Jugadora 5</t>
  </si>
  <si>
    <t xml:space="preserve">Jugadora 6</t>
  </si>
  <si>
    <t xml:space="preserve">Jugadora 7</t>
  </si>
  <si>
    <t xml:space="preserve">Jugadora 8</t>
  </si>
  <si>
    <t xml:space="preserve">Jugadora 9</t>
  </si>
  <si>
    <t xml:space="preserve">Jugadora 10</t>
  </si>
  <si>
    <t xml:space="preserve">Jugadora 11</t>
  </si>
  <si>
    <t xml:space="preserve">Jugadora 12</t>
  </si>
  <si>
    <t xml:space="preserve">Suma (≈200)</t>
  </si>
  <si>
    <t xml:space="preserve">Escribe los nombres reales en la columna B. La fila «Suma» debe rondar 200 minutos por partido.</t>
  </si>
  <si>
    <t xml:space="preserve">TESTS FÍSICOS</t>
  </si>
  <si>
    <t xml:space="preserve">Cuatro mediciones: primera semana de septiembre, 11 de enero, 22 de marzo y final de temporada.</t>
  </si>
  <si>
    <t xml:space="preserve">Salto vertical (cm)</t>
  </si>
  <si>
    <t xml:space="preserve">Sprint 20 m (s)</t>
  </si>
  <si>
    <t xml:space="preserve">Agilidad en T (s)</t>
  </si>
  <si>
    <t xml:space="preserve">Resistencia (nivel)</t>
  </si>
  <si>
    <t xml:space="preserve">Sep</t>
  </si>
  <si>
    <t xml:space="preserve">Ene</t>
  </si>
  <si>
    <t xml:space="preserve">Mar</t>
  </si>
  <si>
    <t xml:space="preserve">May</t>
  </si>
  <si>
    <t xml:space="preserve">Mejora</t>
  </si>
  <si>
    <t xml:space="preserve">«Mejora» ya tiene en cuenta el sentido de cada prueba: verde es progreso.</t>
  </si>
  <si>
    <t xml:space="preserve">TESTS TÉCNICOS</t>
  </si>
  <si>
    <t xml:space="preserve">Mismo calendario que los tests físicos. Comparte los resultados en privado con cada jugadora.</t>
  </si>
  <si>
    <t xml:space="preserve">Tiros libres (/20)</t>
  </si>
  <si>
    <t xml:space="preserve">Entradas 60" (nº)</t>
  </si>
  <si>
    <t xml:space="preserve">Circuito manejo (s)</t>
  </si>
  <si>
    <t xml:space="preserve">PANEL DE TEMPORADA</t>
  </si>
  <si>
    <t xml:space="preserve">Todo se calcula solo. Revísalo al cerrar cada bloque: diciembre, marzo y abril.</t>
  </si>
  <si>
    <t xml:space="preserve">BALANCE</t>
  </si>
  <si>
    <t xml:space="preserve">Partidos jugados</t>
  </si>
  <si>
    <t xml:space="preserve">Victorias</t>
  </si>
  <si>
    <t xml:space="preserve">Derrotas</t>
  </si>
  <si>
    <t xml:space="preserve">Puntos a favor (media)</t>
  </si>
  <si>
    <t xml:space="preserve">Puntos en contra (media)</t>
  </si>
  <si>
    <t xml:space="preserve">Diferencia media</t>
  </si>
  <si>
    <t xml:space="preserve">Diferencia acumulada</t>
  </si>
  <si>
    <t xml:space="preserve">INDICADORES DEL MODELO DE JUEGO</t>
  </si>
  <si>
    <t xml:space="preserve">Media temporada</t>
  </si>
  <si>
    <t xml:space="preserve">Estado</t>
  </si>
  <si>
    <t xml:space="preserve">REPARTO DE MINUTOS</t>
  </si>
  <si>
    <t xml:space="preserve">Minutos de la jugadora que más juega</t>
  </si>
  <si>
    <t xml:space="preserve">Minutos de la jugadora que menos juega</t>
  </si>
  <si>
    <t xml:space="preserve">Media de minutos del equipo</t>
  </si>
  <si>
    <t xml:space="preserve">Casos de menos de 10 min (todo el equipo)</t>
  </si>
  <si>
    <t xml:space="preserve">Recordatorio: los partidos contra los equipos de la zona baja del grupo arrastran resultado a los grupos de descenso. Márcalos en la columna «Notas» de la hoja Partidos.</t>
  </si>
  <si>
    <t xml:space="preserve">CONTROL DE CARGA · RPE</t>
  </si>
  <si>
    <t xml:space="preserve">Al terminar la sesión, cada jugadora dice un número del 0 al 10. Anota la media del equipo. Referencia: 1-2 sesión de tiro estático · 10 intensidad de partido.</t>
  </si>
  <si>
    <t xml:space="preserve">Carga = RPE × minutos. Los martes duran 75 min y los viernes 105, así que las sesiones NO son comparables sin multiplicar. La columna Min viene rellena; cámbiala si varía.</t>
  </si>
  <si>
    <t xml:space="preserve">Sem</t>
  </si>
  <si>
    <t xml:space="preserve">Día</t>
  </si>
  <si>
    <t xml:space="preserve">Bloque</t>
  </si>
  <si>
    <t xml:space="preserve">Min</t>
  </si>
  <si>
    <t xml:space="preserve">RPE
medio</t>
  </si>
  <si>
    <t xml:space="preserve">Carga
(UA)</t>
  </si>
  <si>
    <t xml:space="preserve">Lunes de</t>
  </si>
  <si>
    <t xml:space="preserve">Carga semanal</t>
  </si>
  <si>
    <t xml:space="preserve">Δ vs anterior</t>
  </si>
  <si>
    <t xml:space="preserve">Aviso</t>
  </si>
  <si>
    <t xml:space="preserve">M0</t>
  </si>
  <si>
    <t xml:space="preserve">Vie</t>
  </si>
  <si>
    <t xml:space="preserve">M1</t>
  </si>
  <si>
    <t xml:space="preserve">Trans A</t>
  </si>
  <si>
    <t xml:space="preserve">M2</t>
  </si>
  <si>
    <t xml:space="preserve">Trans B</t>
  </si>
  <si>
    <t xml:space="preserve">M3</t>
  </si>
  <si>
    <t xml:space="preserve">M4</t>
  </si>
  <si>
    <t xml:space="preserve">ASISTENCIA</t>
  </si>
  <si>
    <t xml:space="preserve">Escribe 1 si asiste y 0 si falta. Deja vacío si la sesión aún no se ha hecho.</t>
  </si>
  <si>
    <t xml:space="preserve">Sesiones</t>
  </si>
  <si>
    <t xml:space="preserve">% asistencia</t>
  </si>
  <si>
    <t xml:space="preserve">Sustituye J1…J12 por los nombres reales. Rojo por debajo del 80%.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</si>
</sst>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General"/>
    <numFmt numFmtId="167" formatCode="0.0%"/>
    <numFmt numFmtId="168" formatCode="0.0"/>
    <numFmt numFmtId="169" formatCode="0.00"/>
    <numFmt numFmtId="170" formatCode="0"/>
    <numFmt numFmtId="171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0"/>
    <col collapsed="false" customWidth="true" hidden="false" outlineLevel="0" max="3" min="3" style="0" width="4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2" customFormat="false" ht="15" hidden="false" customHeight="false" outlineLevel="0" collapsed="false">
      <c r="A22" s="4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6" customFormat="false" ht="15" hidden="false" customHeight="false" outlineLevel="0" collapsed="false">
      <c r="A26" s="4" t="s">
        <v>20</v>
      </c>
    </row>
    <row r="27" customFormat="false" ht="15" hidden="false" customHeight="false" outlineLevel="0" collapsed="false">
      <c r="A27" s="3" t="s">
        <v>21</v>
      </c>
    </row>
    <row r="29" customFormat="false" ht="15" hidden="false" customHeight="false" outlineLevel="0" collapsed="false">
      <c r="A29" s="2" t="s">
        <v>22</v>
      </c>
    </row>
    <row r="31" customFormat="false" ht="15" hidden="false" customHeight="false" outlineLevel="0" collapsed="false">
      <c r="A31" s="5" t="s">
        <v>23</v>
      </c>
      <c r="B31" s="5" t="s">
        <v>24</v>
      </c>
      <c r="C31" s="5" t="s">
        <v>25</v>
      </c>
    </row>
    <row r="32" customFormat="false" ht="15" hidden="false" customHeight="false" outlineLevel="0" collapsed="false">
      <c r="A32" s="6" t="s">
        <v>26</v>
      </c>
      <c r="B32" s="7" t="s">
        <v>27</v>
      </c>
      <c r="C32" s="6" t="s">
        <v>28</v>
      </c>
    </row>
    <row r="33" customFormat="false" ht="15" hidden="false" customHeight="false" outlineLevel="0" collapsed="false">
      <c r="A33" s="6" t="s">
        <v>29</v>
      </c>
      <c r="B33" s="7" t="s">
        <v>30</v>
      </c>
      <c r="C33" s="6" t="s">
        <v>31</v>
      </c>
    </row>
    <row r="34" customFormat="false" ht="15" hidden="false" customHeight="false" outlineLevel="0" collapsed="false">
      <c r="A34" s="6" t="s">
        <v>32</v>
      </c>
      <c r="B34" s="7" t="s">
        <v>33</v>
      </c>
      <c r="C34" s="6" t="s">
        <v>34</v>
      </c>
    </row>
    <row r="35" customFormat="false" ht="15" hidden="false" customHeight="false" outlineLevel="0" collapsed="false">
      <c r="A35" s="6" t="s">
        <v>35</v>
      </c>
      <c r="B35" s="7" t="s">
        <v>36</v>
      </c>
      <c r="C35" s="6" t="s">
        <v>37</v>
      </c>
    </row>
    <row r="37" customFormat="false" ht="15" hidden="false" customHeight="false" outlineLevel="0" collapsed="false">
      <c r="A37" s="2" t="s">
        <v>38</v>
      </c>
    </row>
    <row r="38" customFormat="false" ht="15" hidden="false" customHeight="false" outlineLevel="0" collapsed="false">
      <c r="A38" s="8" t="s">
        <v>39</v>
      </c>
    </row>
    <row r="39" customFormat="false" ht="15" hidden="false" customHeight="false" outlineLevel="0" collapsed="false">
      <c r="A39" s="9" t="s">
        <v>40</v>
      </c>
    </row>
    <row r="42" customFormat="false" ht="15" hidden="false" customHeight="false" outlineLevel="0" collapsed="false">
      <c r="A42" s="1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6" min="4" style="0" width="6"/>
    <col collapsed="false" customWidth="true" hidden="false" outlineLevel="0" max="7" min="7" style="0" width="7"/>
    <col collapsed="false" customWidth="true" hidden="false" outlineLevel="0" max="8" min="8" style="0" width="6"/>
    <col collapsed="false" customWidth="true" hidden="false" outlineLevel="0" max="9" min="9" style="0" width="10"/>
    <col collapsed="false" customWidth="true" hidden="false" outlineLevel="0" max="11" min="10" style="0" width="9"/>
    <col collapsed="false" customWidth="true" hidden="false" outlineLevel="0" max="12" min="12" style="0" width="10"/>
    <col collapsed="false" customWidth="true" hidden="false" outlineLevel="0" max="14" min="13" style="0" width="9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7" min="17" style="0" width="30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10" t="s">
        <v>43</v>
      </c>
    </row>
    <row r="4" customFormat="false" ht="30" hidden="false" customHeight="true" outlineLevel="0" collapsed="false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49</v>
      </c>
      <c r="G4" s="11" t="s">
        <v>50</v>
      </c>
      <c r="H4" s="11" t="s">
        <v>51</v>
      </c>
      <c r="I4" s="11" t="s">
        <v>52</v>
      </c>
      <c r="J4" s="11" t="s">
        <v>53</v>
      </c>
      <c r="K4" s="11" t="s">
        <v>54</v>
      </c>
      <c r="L4" s="11" t="s">
        <v>55</v>
      </c>
      <c r="M4" s="11" t="s">
        <v>56</v>
      </c>
      <c r="N4" s="11" t="s">
        <v>57</v>
      </c>
      <c r="O4" s="11" t="s">
        <v>58</v>
      </c>
      <c r="P4" s="11" t="s">
        <v>35</v>
      </c>
      <c r="Q4" s="11" t="s">
        <v>59</v>
      </c>
    </row>
    <row r="5" customFormat="false" ht="15" hidden="false" customHeight="false" outlineLevel="0" collapsed="false">
      <c r="A5" s="12" t="s">
        <v>60</v>
      </c>
      <c r="B5" s="13" t="n">
        <v>46298</v>
      </c>
      <c r="C5" s="8" t="s">
        <v>61</v>
      </c>
      <c r="D5" s="14" t="s">
        <v>62</v>
      </c>
      <c r="E5" s="14" t="n">
        <v>54</v>
      </c>
      <c r="F5" s="14" t="n">
        <v>48</v>
      </c>
      <c r="G5" s="15" t="n">
        <f aca="false">IF(E5="","",E5-F5)</f>
        <v>6</v>
      </c>
      <c r="H5" s="15" t="str">
        <f aca="false">IF(E5="","",IF(E5&gt;F5,"V","D"))</f>
        <v>V</v>
      </c>
      <c r="I5" s="14" t="n">
        <v>24</v>
      </c>
      <c r="J5" s="14" t="n">
        <v>9</v>
      </c>
      <c r="K5" s="16" t="n">
        <f aca="false">IFERROR(I5/(I5+J5),"")</f>
        <v>0.727272727272727</v>
      </c>
      <c r="L5" s="14" t="n">
        <v>11</v>
      </c>
      <c r="M5" s="14" t="n">
        <v>22</v>
      </c>
      <c r="N5" s="16" t="n">
        <f aca="false">IFERROR(L5/(L5+M5),"")</f>
        <v>0.333333333333333</v>
      </c>
      <c r="O5" s="14" t="n">
        <v>22</v>
      </c>
      <c r="P5" s="14" t="n">
        <v>16</v>
      </c>
      <c r="Q5" s="8" t="s">
        <v>63</v>
      </c>
    </row>
    <row r="6" customFormat="false" ht="15" hidden="false" customHeight="false" outlineLevel="0" collapsed="false">
      <c r="A6" s="12" t="s">
        <v>64</v>
      </c>
      <c r="B6" s="13" t="n">
        <v>46312</v>
      </c>
      <c r="C6" s="8"/>
      <c r="D6" s="14"/>
      <c r="E6" s="14"/>
      <c r="F6" s="14"/>
      <c r="G6" s="15" t="str">
        <f aca="false">IF(E6="","",E6-F6)</f>
        <v/>
      </c>
      <c r="H6" s="15" t="str">
        <f aca="false">IF(E6="","",IF(E6&gt;F6,"V","D"))</f>
        <v/>
      </c>
      <c r="I6" s="14"/>
      <c r="J6" s="14"/>
      <c r="K6" s="16" t="str">
        <f aca="false">IFERROR(I6/(I6+J6),"")</f>
        <v/>
      </c>
      <c r="L6" s="14"/>
      <c r="M6" s="14"/>
      <c r="N6" s="16" t="str">
        <f aca="false">IFERROR(L6/(L6+M6),"")</f>
        <v/>
      </c>
      <c r="O6" s="14"/>
      <c r="P6" s="14"/>
      <c r="Q6" s="8"/>
    </row>
    <row r="7" customFormat="false" ht="15" hidden="false" customHeight="false" outlineLevel="0" collapsed="false">
      <c r="A7" s="12" t="s">
        <v>65</v>
      </c>
      <c r="B7" s="13" t="n">
        <v>46319</v>
      </c>
      <c r="C7" s="8"/>
      <c r="D7" s="14"/>
      <c r="E7" s="14"/>
      <c r="F7" s="14"/>
      <c r="G7" s="15" t="str">
        <f aca="false">IF(E7="","",E7-F7)</f>
        <v/>
      </c>
      <c r="H7" s="15" t="str">
        <f aca="false">IF(E7="","",IF(E7&gt;F7,"V","D"))</f>
        <v/>
      </c>
      <c r="I7" s="14"/>
      <c r="J7" s="14"/>
      <c r="K7" s="16" t="str">
        <f aca="false">IFERROR(I7/(I7+J7),"")</f>
        <v/>
      </c>
      <c r="L7" s="14"/>
      <c r="M7" s="14"/>
      <c r="N7" s="16" t="str">
        <f aca="false">IFERROR(L7/(L7+M7),"")</f>
        <v/>
      </c>
      <c r="O7" s="14"/>
      <c r="P7" s="14"/>
      <c r="Q7" s="8"/>
    </row>
    <row r="8" customFormat="false" ht="15" hidden="false" customHeight="false" outlineLevel="0" collapsed="false">
      <c r="A8" s="12" t="s">
        <v>66</v>
      </c>
      <c r="B8" s="13" t="n">
        <v>46333</v>
      </c>
      <c r="C8" s="8"/>
      <c r="D8" s="14"/>
      <c r="E8" s="14"/>
      <c r="F8" s="14"/>
      <c r="G8" s="15" t="str">
        <f aca="false">IF(E8="","",E8-F8)</f>
        <v/>
      </c>
      <c r="H8" s="15" t="str">
        <f aca="false">IF(E8="","",IF(E8&gt;F8,"V","D"))</f>
        <v/>
      </c>
      <c r="I8" s="14"/>
      <c r="J8" s="14"/>
      <c r="K8" s="16" t="str">
        <f aca="false">IFERROR(I8/(I8+J8),"")</f>
        <v/>
      </c>
      <c r="L8" s="14"/>
      <c r="M8" s="14"/>
      <c r="N8" s="16" t="str">
        <f aca="false">IFERROR(L8/(L8+M8),"")</f>
        <v/>
      </c>
      <c r="O8" s="14"/>
      <c r="P8" s="14"/>
      <c r="Q8" s="8"/>
    </row>
    <row r="9" customFormat="false" ht="15" hidden="false" customHeight="false" outlineLevel="0" collapsed="false">
      <c r="A9" s="12" t="s">
        <v>67</v>
      </c>
      <c r="B9" s="13" t="n">
        <v>46340</v>
      </c>
      <c r="C9" s="8"/>
      <c r="D9" s="14"/>
      <c r="E9" s="14"/>
      <c r="F9" s="14"/>
      <c r="G9" s="15" t="str">
        <f aca="false">IF(E9="","",E9-F9)</f>
        <v/>
      </c>
      <c r="H9" s="15" t="str">
        <f aca="false">IF(E9="","",IF(E9&gt;F9,"V","D"))</f>
        <v/>
      </c>
      <c r="I9" s="14"/>
      <c r="J9" s="14"/>
      <c r="K9" s="16" t="str">
        <f aca="false">IFERROR(I9/(I9+J9),"")</f>
        <v/>
      </c>
      <c r="L9" s="14"/>
      <c r="M9" s="14"/>
      <c r="N9" s="16" t="str">
        <f aca="false">IFERROR(L9/(L9+M9),"")</f>
        <v/>
      </c>
      <c r="O9" s="14"/>
      <c r="P9" s="14"/>
      <c r="Q9" s="8"/>
    </row>
    <row r="10" customFormat="false" ht="15" hidden="false" customHeight="false" outlineLevel="0" collapsed="false">
      <c r="A10" s="12" t="s">
        <v>68</v>
      </c>
      <c r="B10" s="13" t="n">
        <v>46347</v>
      </c>
      <c r="C10" s="8"/>
      <c r="D10" s="14"/>
      <c r="E10" s="14"/>
      <c r="F10" s="14"/>
      <c r="G10" s="15" t="str">
        <f aca="false">IF(E10="","",E10-F10)</f>
        <v/>
      </c>
      <c r="H10" s="15" t="str">
        <f aca="false">IF(E10="","",IF(E10&gt;F10,"V","D"))</f>
        <v/>
      </c>
      <c r="I10" s="14"/>
      <c r="J10" s="14"/>
      <c r="K10" s="16" t="str">
        <f aca="false">IFERROR(I10/(I10+J10),"")</f>
        <v/>
      </c>
      <c r="L10" s="14"/>
      <c r="M10" s="14"/>
      <c r="N10" s="16" t="str">
        <f aca="false">IFERROR(L10/(L10+M10),"")</f>
        <v/>
      </c>
      <c r="O10" s="14"/>
      <c r="P10" s="14"/>
      <c r="Q10" s="8"/>
    </row>
    <row r="11" customFormat="false" ht="15" hidden="false" customHeight="false" outlineLevel="0" collapsed="false">
      <c r="A11" s="12" t="s">
        <v>69</v>
      </c>
      <c r="B11" s="13" t="n">
        <v>46354</v>
      </c>
      <c r="C11" s="8"/>
      <c r="D11" s="14"/>
      <c r="E11" s="14"/>
      <c r="F11" s="14"/>
      <c r="G11" s="15" t="str">
        <f aca="false">IF(E11="","",E11-F11)</f>
        <v/>
      </c>
      <c r="H11" s="15" t="str">
        <f aca="false">IF(E11="","",IF(E11&gt;F11,"V","D"))</f>
        <v/>
      </c>
      <c r="I11" s="14"/>
      <c r="J11" s="14"/>
      <c r="K11" s="16" t="str">
        <f aca="false">IFERROR(I11/(I11+J11),"")</f>
        <v/>
      </c>
      <c r="L11" s="14"/>
      <c r="M11" s="14"/>
      <c r="N11" s="16" t="str">
        <f aca="false">IFERROR(L11/(L11+M11),"")</f>
        <v/>
      </c>
      <c r="O11" s="14"/>
      <c r="P11" s="14"/>
      <c r="Q11" s="8"/>
    </row>
    <row r="12" customFormat="false" ht="15" hidden="false" customHeight="false" outlineLevel="0" collapsed="false">
      <c r="A12" s="12" t="s">
        <v>70</v>
      </c>
      <c r="B12" s="13" t="n">
        <v>46368</v>
      </c>
      <c r="C12" s="8"/>
      <c r="D12" s="14"/>
      <c r="E12" s="14"/>
      <c r="F12" s="14"/>
      <c r="G12" s="15" t="str">
        <f aca="false">IF(E12="","",E12-F12)</f>
        <v/>
      </c>
      <c r="H12" s="15" t="str">
        <f aca="false">IF(E12="","",IF(E12&gt;F12,"V","D"))</f>
        <v/>
      </c>
      <c r="I12" s="14"/>
      <c r="J12" s="14"/>
      <c r="K12" s="16" t="str">
        <f aca="false">IFERROR(I12/(I12+J12),"")</f>
        <v/>
      </c>
      <c r="L12" s="14"/>
      <c r="M12" s="14"/>
      <c r="N12" s="16" t="str">
        <f aca="false">IFERROR(L12/(L12+M12),"")</f>
        <v/>
      </c>
      <c r="O12" s="14"/>
      <c r="P12" s="14"/>
      <c r="Q12" s="8"/>
    </row>
    <row r="13" customFormat="false" ht="15" hidden="false" customHeight="false" outlineLevel="0" collapsed="false">
      <c r="A13" s="12" t="s">
        <v>71</v>
      </c>
      <c r="B13" s="13" t="n">
        <v>46375</v>
      </c>
      <c r="C13" s="8"/>
      <c r="D13" s="14"/>
      <c r="E13" s="14"/>
      <c r="F13" s="14"/>
      <c r="G13" s="15" t="str">
        <f aca="false">IF(E13="","",E13-F13)</f>
        <v/>
      </c>
      <c r="H13" s="15" t="str">
        <f aca="false">IF(E13="","",IF(E13&gt;F13,"V","D"))</f>
        <v/>
      </c>
      <c r="I13" s="14"/>
      <c r="J13" s="14"/>
      <c r="K13" s="16" t="str">
        <f aca="false">IFERROR(I13/(I13+J13),"")</f>
        <v/>
      </c>
      <c r="L13" s="14"/>
      <c r="M13" s="14"/>
      <c r="N13" s="16" t="str">
        <f aca="false">IFERROR(L13/(L13+M13),"")</f>
        <v/>
      </c>
      <c r="O13" s="14"/>
      <c r="P13" s="14"/>
      <c r="Q13" s="8"/>
    </row>
    <row r="14" customFormat="false" ht="15" hidden="false" customHeight="false" outlineLevel="0" collapsed="false">
      <c r="A14" s="12" t="s">
        <v>72</v>
      </c>
      <c r="B14" s="13" t="n">
        <v>46403</v>
      </c>
      <c r="C14" s="8"/>
      <c r="D14" s="14"/>
      <c r="E14" s="14"/>
      <c r="F14" s="14"/>
      <c r="G14" s="15" t="str">
        <f aca="false">IF(E14="","",E14-F14)</f>
        <v/>
      </c>
      <c r="H14" s="15" t="str">
        <f aca="false">IF(E14="","",IF(E14&gt;F14,"V","D"))</f>
        <v/>
      </c>
      <c r="I14" s="14"/>
      <c r="J14" s="14"/>
      <c r="K14" s="16" t="str">
        <f aca="false">IFERROR(I14/(I14+J14),"")</f>
        <v/>
      </c>
      <c r="L14" s="14"/>
      <c r="M14" s="14"/>
      <c r="N14" s="16" t="str">
        <f aca="false">IFERROR(L14/(L14+M14),"")</f>
        <v/>
      </c>
      <c r="O14" s="14"/>
      <c r="P14" s="14"/>
      <c r="Q14" s="8"/>
    </row>
    <row r="15" customFormat="false" ht="15" hidden="false" customHeight="false" outlineLevel="0" collapsed="false">
      <c r="A15" s="12" t="s">
        <v>73</v>
      </c>
      <c r="B15" s="13" t="n">
        <v>46410</v>
      </c>
      <c r="C15" s="8"/>
      <c r="D15" s="14"/>
      <c r="E15" s="14"/>
      <c r="F15" s="14"/>
      <c r="G15" s="15" t="str">
        <f aca="false">IF(E15="","",E15-F15)</f>
        <v/>
      </c>
      <c r="H15" s="15" t="str">
        <f aca="false">IF(E15="","",IF(E15&gt;F15,"V","D"))</f>
        <v/>
      </c>
      <c r="I15" s="14"/>
      <c r="J15" s="14"/>
      <c r="K15" s="16" t="str">
        <f aca="false">IFERROR(I15/(I15+J15),"")</f>
        <v/>
      </c>
      <c r="L15" s="14"/>
      <c r="M15" s="14"/>
      <c r="N15" s="16" t="str">
        <f aca="false">IFERROR(L15/(L15+M15),"")</f>
        <v/>
      </c>
      <c r="O15" s="14"/>
      <c r="P15" s="14"/>
      <c r="Q15" s="8"/>
    </row>
    <row r="16" customFormat="false" ht="15" hidden="false" customHeight="false" outlineLevel="0" collapsed="false">
      <c r="A16" s="12" t="s">
        <v>74</v>
      </c>
      <c r="B16" s="13" t="n">
        <v>46417</v>
      </c>
      <c r="C16" s="8"/>
      <c r="D16" s="14"/>
      <c r="E16" s="14"/>
      <c r="F16" s="14"/>
      <c r="G16" s="15" t="str">
        <f aca="false">IF(E16="","",E16-F16)</f>
        <v/>
      </c>
      <c r="H16" s="15" t="str">
        <f aca="false">IF(E16="","",IF(E16&gt;F16,"V","D"))</f>
        <v/>
      </c>
      <c r="I16" s="14"/>
      <c r="J16" s="14"/>
      <c r="K16" s="16" t="str">
        <f aca="false">IFERROR(I16/(I16+J16),"")</f>
        <v/>
      </c>
      <c r="L16" s="14"/>
      <c r="M16" s="14"/>
      <c r="N16" s="16" t="str">
        <f aca="false">IFERROR(L16/(L16+M16),"")</f>
        <v/>
      </c>
      <c r="O16" s="14"/>
      <c r="P16" s="14"/>
      <c r="Q16" s="8"/>
    </row>
    <row r="17" customFormat="false" ht="15" hidden="false" customHeight="false" outlineLevel="0" collapsed="false">
      <c r="A17" s="12" t="s">
        <v>75</v>
      </c>
      <c r="B17" s="13" t="n">
        <v>46424</v>
      </c>
      <c r="C17" s="8"/>
      <c r="D17" s="14"/>
      <c r="E17" s="14"/>
      <c r="F17" s="14"/>
      <c r="G17" s="15" t="str">
        <f aca="false">IF(E17="","",E17-F17)</f>
        <v/>
      </c>
      <c r="H17" s="15" t="str">
        <f aca="false">IF(E17="","",IF(E17&gt;F17,"V","D"))</f>
        <v/>
      </c>
      <c r="I17" s="14"/>
      <c r="J17" s="14"/>
      <c r="K17" s="16" t="str">
        <f aca="false">IFERROR(I17/(I17+J17),"")</f>
        <v/>
      </c>
      <c r="L17" s="14"/>
      <c r="M17" s="14"/>
      <c r="N17" s="16" t="str">
        <f aca="false">IFERROR(L17/(L17+M17),"")</f>
        <v/>
      </c>
      <c r="O17" s="14"/>
      <c r="P17" s="14"/>
      <c r="Q17" s="8"/>
    </row>
    <row r="18" customFormat="false" ht="15" hidden="false" customHeight="false" outlineLevel="0" collapsed="false">
      <c r="A18" s="12" t="s">
        <v>76</v>
      </c>
      <c r="B18" s="13" t="n">
        <v>46431</v>
      </c>
      <c r="C18" s="8"/>
      <c r="D18" s="14"/>
      <c r="E18" s="14"/>
      <c r="F18" s="14"/>
      <c r="G18" s="15" t="str">
        <f aca="false">IF(E18="","",E18-F18)</f>
        <v/>
      </c>
      <c r="H18" s="15" t="str">
        <f aca="false">IF(E18="","",IF(E18&gt;F18,"V","D"))</f>
        <v/>
      </c>
      <c r="I18" s="14"/>
      <c r="J18" s="14"/>
      <c r="K18" s="16" t="str">
        <f aca="false">IFERROR(I18/(I18+J18),"")</f>
        <v/>
      </c>
      <c r="L18" s="14"/>
      <c r="M18" s="14"/>
      <c r="N18" s="16" t="str">
        <f aca="false">IFERROR(L18/(L18+M18),"")</f>
        <v/>
      </c>
      <c r="O18" s="14"/>
      <c r="P18" s="14"/>
      <c r="Q18" s="8"/>
    </row>
    <row r="19" customFormat="false" ht="15" hidden="false" customHeight="false" outlineLevel="0" collapsed="false">
      <c r="A19" s="12" t="s">
        <v>77</v>
      </c>
      <c r="B19" s="13" t="n">
        <v>46438</v>
      </c>
      <c r="C19" s="8"/>
      <c r="D19" s="14"/>
      <c r="E19" s="14"/>
      <c r="F19" s="14"/>
      <c r="G19" s="15" t="str">
        <f aca="false">IF(E19="","",E19-F19)</f>
        <v/>
      </c>
      <c r="H19" s="15" t="str">
        <f aca="false">IF(E19="","",IF(E19&gt;F19,"V","D"))</f>
        <v/>
      </c>
      <c r="I19" s="14"/>
      <c r="J19" s="14"/>
      <c r="K19" s="16" t="str">
        <f aca="false">IFERROR(I19/(I19+J19),"")</f>
        <v/>
      </c>
      <c r="L19" s="14"/>
      <c r="M19" s="14"/>
      <c r="N19" s="16" t="str">
        <f aca="false">IFERROR(L19/(L19+M19),"")</f>
        <v/>
      </c>
      <c r="O19" s="14"/>
      <c r="P19" s="14"/>
      <c r="Q19" s="8"/>
    </row>
    <row r="20" customFormat="false" ht="15" hidden="false" customHeight="false" outlineLevel="0" collapsed="false">
      <c r="A20" s="12" t="s">
        <v>78</v>
      </c>
      <c r="B20" s="13" t="n">
        <v>46445</v>
      </c>
      <c r="C20" s="8"/>
      <c r="D20" s="14"/>
      <c r="E20" s="14"/>
      <c r="F20" s="14"/>
      <c r="G20" s="15" t="str">
        <f aca="false">IF(E20="","",E20-F20)</f>
        <v/>
      </c>
      <c r="H20" s="15" t="str">
        <f aca="false">IF(E20="","",IF(E20&gt;F20,"V","D"))</f>
        <v/>
      </c>
      <c r="I20" s="14"/>
      <c r="J20" s="14"/>
      <c r="K20" s="16" t="str">
        <f aca="false">IFERROR(I20/(I20+J20),"")</f>
        <v/>
      </c>
      <c r="L20" s="14"/>
      <c r="M20" s="14"/>
      <c r="N20" s="16" t="str">
        <f aca="false">IFERROR(L20/(L20+M20),"")</f>
        <v/>
      </c>
      <c r="O20" s="14"/>
      <c r="P20" s="14"/>
      <c r="Q20" s="8"/>
    </row>
    <row r="21" customFormat="false" ht="15" hidden="false" customHeight="false" outlineLevel="0" collapsed="false">
      <c r="A21" s="12" t="s">
        <v>79</v>
      </c>
      <c r="B21" s="13" t="n">
        <v>46452</v>
      </c>
      <c r="C21" s="8"/>
      <c r="D21" s="14"/>
      <c r="E21" s="14"/>
      <c r="F21" s="14"/>
      <c r="G21" s="15" t="str">
        <f aca="false">IF(E21="","",E21-F21)</f>
        <v/>
      </c>
      <c r="H21" s="15" t="str">
        <f aca="false">IF(E21="","",IF(E21&gt;F21,"V","D"))</f>
        <v/>
      </c>
      <c r="I21" s="14"/>
      <c r="J21" s="14"/>
      <c r="K21" s="16" t="str">
        <f aca="false">IFERROR(I21/(I21+J21),"")</f>
        <v/>
      </c>
      <c r="L21" s="14"/>
      <c r="M21" s="14"/>
      <c r="N21" s="16" t="str">
        <f aca="false">IFERROR(L21/(L21+M21),"")</f>
        <v/>
      </c>
      <c r="O21" s="14"/>
      <c r="P21" s="14"/>
      <c r="Q21" s="8"/>
    </row>
    <row r="22" customFormat="false" ht="15" hidden="false" customHeight="false" outlineLevel="0" collapsed="false">
      <c r="A22" s="12" t="s">
        <v>80</v>
      </c>
      <c r="B22" s="13" t="n">
        <v>46459</v>
      </c>
      <c r="C22" s="8"/>
      <c r="D22" s="14"/>
      <c r="E22" s="14"/>
      <c r="F22" s="14"/>
      <c r="G22" s="15" t="str">
        <f aca="false">IF(E22="","",E22-F22)</f>
        <v/>
      </c>
      <c r="H22" s="15" t="str">
        <f aca="false">IF(E22="","",IF(E22&gt;F22,"V","D"))</f>
        <v/>
      </c>
      <c r="I22" s="14"/>
      <c r="J22" s="14"/>
      <c r="K22" s="16" t="str">
        <f aca="false">IFERROR(I22/(I22+J22),"")</f>
        <v/>
      </c>
      <c r="L22" s="14"/>
      <c r="M22" s="14"/>
      <c r="N22" s="16" t="str">
        <f aca="false">IFERROR(L22/(L22+M22),"")</f>
        <v/>
      </c>
      <c r="O22" s="14"/>
      <c r="P22" s="14"/>
      <c r="Q22" s="8"/>
    </row>
    <row r="23" customFormat="false" ht="15" hidden="false" customHeight="false" outlineLevel="0" collapsed="false">
      <c r="A23" s="12" t="s">
        <v>81</v>
      </c>
      <c r="B23" s="13" t="n">
        <v>46480</v>
      </c>
      <c r="C23" s="8"/>
      <c r="D23" s="14"/>
      <c r="E23" s="14"/>
      <c r="F23" s="14"/>
      <c r="G23" s="15" t="str">
        <f aca="false">IF(E23="","",E23-F23)</f>
        <v/>
      </c>
      <c r="H23" s="15" t="str">
        <f aca="false">IF(E23="","",IF(E23&gt;F23,"V","D"))</f>
        <v/>
      </c>
      <c r="I23" s="14"/>
      <c r="J23" s="14"/>
      <c r="K23" s="16" t="str">
        <f aca="false">IFERROR(I23/(I23+J23),"")</f>
        <v/>
      </c>
      <c r="L23" s="14"/>
      <c r="M23" s="14"/>
      <c r="N23" s="16" t="str">
        <f aca="false">IFERROR(L23/(L23+M23),"")</f>
        <v/>
      </c>
      <c r="O23" s="14"/>
      <c r="P23" s="14"/>
      <c r="Q23" s="8"/>
    </row>
    <row r="24" customFormat="false" ht="15" hidden="false" customHeight="false" outlineLevel="0" collapsed="false">
      <c r="A24" s="12" t="s">
        <v>82</v>
      </c>
      <c r="B24" s="13" t="n">
        <v>46487</v>
      </c>
      <c r="C24" s="8"/>
      <c r="D24" s="14"/>
      <c r="E24" s="14"/>
      <c r="F24" s="14"/>
      <c r="G24" s="15" t="str">
        <f aca="false">IF(E24="","",E24-F24)</f>
        <v/>
      </c>
      <c r="H24" s="15" t="str">
        <f aca="false">IF(E24="","",IF(E24&gt;F24,"V","D"))</f>
        <v/>
      </c>
      <c r="I24" s="14"/>
      <c r="J24" s="14"/>
      <c r="K24" s="16" t="str">
        <f aca="false">IFERROR(I24/(I24+J24),"")</f>
        <v/>
      </c>
      <c r="L24" s="14"/>
      <c r="M24" s="14"/>
      <c r="N24" s="16" t="str">
        <f aca="false">IFERROR(L24/(L24+M24),"")</f>
        <v/>
      </c>
      <c r="O24" s="14"/>
      <c r="P24" s="14"/>
      <c r="Q24" s="8"/>
    </row>
    <row r="25" customFormat="false" ht="15" hidden="false" customHeight="false" outlineLevel="0" collapsed="false">
      <c r="A25" s="12" t="s">
        <v>83</v>
      </c>
      <c r="B25" s="13" t="n">
        <v>46494</v>
      </c>
      <c r="C25" s="8"/>
      <c r="D25" s="14"/>
      <c r="E25" s="14"/>
      <c r="F25" s="14"/>
      <c r="G25" s="15" t="str">
        <f aca="false">IF(E25="","",E25-F25)</f>
        <v/>
      </c>
      <c r="H25" s="15" t="str">
        <f aca="false">IF(E25="","",IF(E25&gt;F25,"V","D"))</f>
        <v/>
      </c>
      <c r="I25" s="14"/>
      <c r="J25" s="14"/>
      <c r="K25" s="16" t="str">
        <f aca="false">IFERROR(I25/(I25+J25),"")</f>
        <v/>
      </c>
      <c r="L25" s="14"/>
      <c r="M25" s="14"/>
      <c r="N25" s="16" t="str">
        <f aca="false">IFERROR(L25/(L25+M25),"")</f>
        <v/>
      </c>
      <c r="O25" s="14"/>
      <c r="P25" s="14"/>
      <c r="Q25" s="8"/>
    </row>
    <row r="26" customFormat="false" ht="15" hidden="false" customHeight="false" outlineLevel="0" collapsed="false">
      <c r="A26" s="12" t="s">
        <v>84</v>
      </c>
      <c r="B26" s="13" t="n">
        <v>46501</v>
      </c>
      <c r="C26" s="8"/>
      <c r="D26" s="14"/>
      <c r="E26" s="14"/>
      <c r="F26" s="14"/>
      <c r="G26" s="15" t="str">
        <f aca="false">IF(E26="","",E26-F26)</f>
        <v/>
      </c>
      <c r="H26" s="15" t="str">
        <f aca="false">IF(E26="","",IF(E26&gt;F26,"V","D"))</f>
        <v/>
      </c>
      <c r="I26" s="14"/>
      <c r="J26" s="14"/>
      <c r="K26" s="16" t="str">
        <f aca="false">IFERROR(I26/(I26+J26),"")</f>
        <v/>
      </c>
      <c r="L26" s="14"/>
      <c r="M26" s="14"/>
      <c r="N26" s="16" t="str">
        <f aca="false">IFERROR(L26/(L26+M26),"")</f>
        <v/>
      </c>
      <c r="O26" s="14"/>
      <c r="P26" s="14"/>
      <c r="Q26" s="8"/>
    </row>
    <row r="27" customFormat="false" ht="15" hidden="false" customHeight="false" outlineLevel="0" collapsed="false">
      <c r="A27" s="17" t="s">
        <v>85</v>
      </c>
      <c r="B27" s="13" t="n">
        <v>46515</v>
      </c>
      <c r="C27" s="8"/>
      <c r="D27" s="14"/>
      <c r="E27" s="14"/>
      <c r="F27" s="14"/>
      <c r="G27" s="15" t="str">
        <f aca="false">IF(E27="","",E27-F27)</f>
        <v/>
      </c>
      <c r="H27" s="15" t="str">
        <f aca="false">IF(E27="","",IF(E27&gt;F27,"V","D"))</f>
        <v/>
      </c>
      <c r="I27" s="14"/>
      <c r="J27" s="14"/>
      <c r="K27" s="16" t="str">
        <f aca="false">IFERROR(I27/(I27+J27),"")</f>
        <v/>
      </c>
      <c r="L27" s="14"/>
      <c r="M27" s="14"/>
      <c r="N27" s="16" t="str">
        <f aca="false">IFERROR(L27/(L27+M27),"")</f>
        <v/>
      </c>
      <c r="O27" s="14"/>
      <c r="P27" s="14"/>
      <c r="Q27" s="8"/>
    </row>
    <row r="28" customFormat="false" ht="15" hidden="false" customHeight="false" outlineLevel="0" collapsed="false">
      <c r="A28" s="17" t="s">
        <v>86</v>
      </c>
      <c r="B28" s="13" t="n">
        <v>46522</v>
      </c>
      <c r="C28" s="8"/>
      <c r="D28" s="14"/>
      <c r="E28" s="14"/>
      <c r="F28" s="14"/>
      <c r="G28" s="15" t="str">
        <f aca="false">IF(E28="","",E28-F28)</f>
        <v/>
      </c>
      <c r="H28" s="15" t="str">
        <f aca="false">IF(E28="","",IF(E28&gt;F28,"V","D"))</f>
        <v/>
      </c>
      <c r="I28" s="14"/>
      <c r="J28" s="14"/>
      <c r="K28" s="16" t="str">
        <f aca="false">IFERROR(I28/(I28+J28),"")</f>
        <v/>
      </c>
      <c r="L28" s="14"/>
      <c r="M28" s="14"/>
      <c r="N28" s="16" t="str">
        <f aca="false">IFERROR(L28/(L28+M28),"")</f>
        <v/>
      </c>
      <c r="O28" s="14"/>
      <c r="P28" s="14"/>
      <c r="Q28" s="8"/>
    </row>
    <row r="29" customFormat="false" ht="15" hidden="false" customHeight="false" outlineLevel="0" collapsed="false">
      <c r="A29" s="17" t="s">
        <v>87</v>
      </c>
      <c r="B29" s="13" t="n">
        <v>46529</v>
      </c>
      <c r="C29" s="8"/>
      <c r="D29" s="14"/>
      <c r="E29" s="14"/>
      <c r="F29" s="14"/>
      <c r="G29" s="15" t="str">
        <f aca="false">IF(E29="","",E29-F29)</f>
        <v/>
      </c>
      <c r="H29" s="15" t="str">
        <f aca="false">IF(E29="","",IF(E29&gt;F29,"V","D"))</f>
        <v/>
      </c>
      <c r="I29" s="14"/>
      <c r="J29" s="14"/>
      <c r="K29" s="16" t="str">
        <f aca="false">IFERROR(I29/(I29+J29),"")</f>
        <v/>
      </c>
      <c r="L29" s="14"/>
      <c r="M29" s="14"/>
      <c r="N29" s="16" t="str">
        <f aca="false">IFERROR(L29/(L29+M29),"")</f>
        <v/>
      </c>
      <c r="O29" s="14"/>
      <c r="P29" s="14"/>
      <c r="Q29" s="8"/>
    </row>
    <row r="30" customFormat="false" ht="15" hidden="false" customHeight="false" outlineLevel="0" collapsed="false">
      <c r="A30" s="17" t="s">
        <v>88</v>
      </c>
      <c r="B30" s="13" t="n">
        <v>46536</v>
      </c>
      <c r="C30" s="8"/>
      <c r="D30" s="14"/>
      <c r="E30" s="14"/>
      <c r="F30" s="14"/>
      <c r="G30" s="15" t="str">
        <f aca="false">IF(E30="","",E30-F30)</f>
        <v/>
      </c>
      <c r="H30" s="15" t="str">
        <f aca="false">IF(E30="","",IF(E30&gt;F30,"V","D"))</f>
        <v/>
      </c>
      <c r="I30" s="14"/>
      <c r="J30" s="14"/>
      <c r="K30" s="16" t="str">
        <f aca="false">IFERROR(I30/(I30+J30),"")</f>
        <v/>
      </c>
      <c r="L30" s="14"/>
      <c r="M30" s="14"/>
      <c r="N30" s="16" t="str">
        <f aca="false">IFERROR(L30/(L30+M30),"")</f>
        <v/>
      </c>
      <c r="O30" s="14"/>
      <c r="P30" s="14"/>
      <c r="Q30" s="8"/>
    </row>
    <row r="32" customFormat="false" ht="15" hidden="false" customHeight="false" outlineLevel="0" collapsed="false">
      <c r="A32" s="18" t="s">
        <v>89</v>
      </c>
      <c r="B32" s="18"/>
      <c r="C32" s="18"/>
      <c r="D32" s="18"/>
      <c r="E32" s="19" t="n">
        <f aca="false">IFERROR(AVERAGE(E5:E26),"")</f>
        <v>54</v>
      </c>
      <c r="F32" s="19" t="n">
        <f aca="false">IFERROR(AVERAGE(F5:F26),"")</f>
        <v>48</v>
      </c>
      <c r="G32" s="19" t="n">
        <f aca="false">IFERROR(AVERAGE(G5:G26),"")</f>
        <v>6</v>
      </c>
      <c r="H32" s="17" t="str">
        <f aca="false">IFERROR(COUNTIF(H5:H26,"V")&amp;"-"&amp;COUNTIF(H5:H26,"D"),"")</f>
        <v>1-0</v>
      </c>
      <c r="I32" s="19" t="n">
        <f aca="false">IFERROR(AVERAGE(I5:I26),"")</f>
        <v>24</v>
      </c>
      <c r="J32" s="19" t="n">
        <f aca="false">IFERROR(AVERAGE(J5:J26),"")</f>
        <v>9</v>
      </c>
      <c r="K32" s="20" t="n">
        <f aca="false">IFERROR(AVERAGE(K5:K26),"")</f>
        <v>0.727272727272727</v>
      </c>
      <c r="L32" s="19" t="n">
        <f aca="false">IFERROR(AVERAGE(L5:L26),"")</f>
        <v>11</v>
      </c>
      <c r="M32" s="19" t="n">
        <f aca="false">IFERROR(AVERAGE(M5:M26),"")</f>
        <v>22</v>
      </c>
      <c r="N32" s="20" t="n">
        <f aca="false">IFERROR(AVERAGE(N5:N26),"")</f>
        <v>0.333333333333333</v>
      </c>
      <c r="O32" s="19" t="n">
        <f aca="false">IFERROR(AVERAGE(O5:O26),"")</f>
        <v>22</v>
      </c>
      <c r="P32" s="19" t="n">
        <f aca="false">IFERROR(AVERAGE(P5:P26),"")</f>
        <v>16</v>
      </c>
    </row>
    <row r="33" customFormat="false" ht="15" hidden="false" customHeight="false" outlineLevel="0" collapsed="false">
      <c r="A33" s="18" t="s">
        <v>90</v>
      </c>
      <c r="B33" s="18"/>
      <c r="C33" s="18"/>
      <c r="D33" s="18"/>
      <c r="E33" s="19" t="n">
        <f aca="false">IFERROR(AVERAGE(E5:E30),"")</f>
        <v>54</v>
      </c>
      <c r="F33" s="19" t="n">
        <f aca="false">IFERROR(AVERAGE(F5:F30),"")</f>
        <v>48</v>
      </c>
      <c r="G33" s="19" t="n">
        <f aca="false">IFERROR(AVERAGE(G5:G30),"")</f>
        <v>6</v>
      </c>
      <c r="H33" s="17" t="str">
        <f aca="false">IFERROR(COUNTIF(H5:H30,"V")&amp;"-"&amp;COUNTIF(H5:H30,"D"),"")</f>
        <v>1-0</v>
      </c>
      <c r="I33" s="19" t="n">
        <f aca="false">IFERROR(AVERAGE(I5:I30),"")</f>
        <v>24</v>
      </c>
      <c r="J33" s="19" t="n">
        <f aca="false">IFERROR(AVERAGE(J5:J30),"")</f>
        <v>9</v>
      </c>
      <c r="K33" s="20" t="n">
        <f aca="false">IFERROR(AVERAGE(K5:K30),"")</f>
        <v>0.727272727272727</v>
      </c>
      <c r="L33" s="19" t="n">
        <f aca="false">IFERROR(AVERAGE(L5:L30),"")</f>
        <v>11</v>
      </c>
      <c r="M33" s="19" t="n">
        <f aca="false">IFERROR(AVERAGE(M5:M30),"")</f>
        <v>22</v>
      </c>
      <c r="N33" s="20" t="n">
        <f aca="false">IFERROR(AVERAGE(N5:N30),"")</f>
        <v>0.333333333333333</v>
      </c>
      <c r="O33" s="19" t="n">
        <f aca="false">IFERROR(AVERAGE(O5:O30),"")</f>
        <v>22</v>
      </c>
      <c r="P33" s="19" t="n">
        <f aca="false">IFERROR(AVERAGE(P5:P30),"")</f>
        <v>16</v>
      </c>
    </row>
    <row r="35" customFormat="false" ht="15" hidden="false" customHeight="false" outlineLevel="0" collapsed="false">
      <c r="A35" s="10" t="s">
        <v>91</v>
      </c>
    </row>
  </sheetData>
  <mergeCells count="2">
    <mergeCell ref="A32:D32"/>
    <mergeCell ref="A33:D33"/>
  </mergeCells>
  <conditionalFormatting sqref="K5:K30">
    <cfRule type="expression" priority="2" aboveAverage="0" equalAverage="0" bottom="0" percent="0" rank="0" text="" dxfId="0">
      <formula>AND(K5&lt;&gt;"",K5&gt;=0.7)</formula>
    </cfRule>
    <cfRule type="expression" priority="3" aboveAverage="0" equalAverage="0" bottom="0" percent="0" rank="0" text="" dxfId="1">
      <formula>AND(K5&lt;&gt;"",K5&lt;0.7)</formula>
    </cfRule>
  </conditionalFormatting>
  <conditionalFormatting sqref="N5:N30">
    <cfRule type="expression" priority="4" aboveAverage="0" equalAverage="0" bottom="0" percent="0" rank="0" text="" dxfId="0">
      <formula>AND(N5&lt;&gt;"",N5&gt;=0.3)</formula>
    </cfRule>
    <cfRule type="expression" priority="5" aboveAverage="0" equalAverage="0" bottom="0" percent="0" rank="0" text="" dxfId="1">
      <formula>AND(N5&lt;&gt;"",N5&lt;0.3)</formula>
    </cfRule>
  </conditionalFormatting>
  <conditionalFormatting sqref="O5:O30">
    <cfRule type="expression" priority="6" aboveAverage="0" equalAverage="0" bottom="0" percent="0" rank="0" text="" dxfId="0">
      <formula>AND(O5&lt;&gt;"",O5&gt;=20)</formula>
    </cfRule>
    <cfRule type="expression" priority="7" aboveAverage="0" equalAverage="0" bottom="0" percent="0" rank="0" text="" dxfId="1">
      <formula>AND(O5&lt;&gt;"",O5&lt;20)</formula>
    </cfRule>
  </conditionalFormatting>
  <conditionalFormatting sqref="P5:P30">
    <cfRule type="expression" priority="8" aboveAverage="0" equalAverage="0" bottom="0" percent="0" rank="0" text="" dxfId="0">
      <formula>AND(P5&lt;&gt;"",P5&lt;=18)</formula>
    </cfRule>
    <cfRule type="expression" priority="9" aboveAverage="0" equalAverage="0" bottom="0" percent="0" rank="0" text="" dxfId="1">
      <formula>AND(P5&lt;&gt;"",P5&gt;18)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28" min="3" style="0" width="6"/>
    <col collapsed="false" customWidth="true" hidden="false" outlineLevel="0" max="32" min="29" style="0" width="9"/>
  </cols>
  <sheetData>
    <row r="1" customFormat="false" ht="17.35" hidden="false" customHeight="false" outlineLevel="0" collapsed="false">
      <c r="A1" s="1" t="s">
        <v>92</v>
      </c>
    </row>
    <row r="2" customFormat="false" ht="15" hidden="false" customHeight="false" outlineLevel="0" collapsed="false">
      <c r="A2" s="10" t="s">
        <v>93</v>
      </c>
    </row>
    <row r="4" customFormat="false" ht="21.75" hidden="false" customHeight="true" outlineLevel="0" collapsed="false">
      <c r="A4" s="5" t="s">
        <v>94</v>
      </c>
      <c r="B4" s="5" t="s">
        <v>95</v>
      </c>
      <c r="C4" s="5" t="s">
        <v>60</v>
      </c>
      <c r="D4" s="5" t="s">
        <v>64</v>
      </c>
      <c r="E4" s="5" t="s">
        <v>65</v>
      </c>
      <c r="F4" s="5" t="s">
        <v>66</v>
      </c>
      <c r="G4" s="5" t="s">
        <v>67</v>
      </c>
      <c r="H4" s="5" t="s">
        <v>68</v>
      </c>
      <c r="I4" s="5" t="s">
        <v>69</v>
      </c>
      <c r="J4" s="5" t="s">
        <v>70</v>
      </c>
      <c r="K4" s="5" t="s">
        <v>71</v>
      </c>
      <c r="L4" s="5" t="s">
        <v>72</v>
      </c>
      <c r="M4" s="5" t="s">
        <v>73</v>
      </c>
      <c r="N4" s="5" t="s">
        <v>74</v>
      </c>
      <c r="O4" s="5" t="s">
        <v>75</v>
      </c>
      <c r="P4" s="5" t="s">
        <v>76</v>
      </c>
      <c r="Q4" s="5" t="s">
        <v>77</v>
      </c>
      <c r="R4" s="5" t="s">
        <v>78</v>
      </c>
      <c r="S4" s="5" t="s">
        <v>79</v>
      </c>
      <c r="T4" s="5" t="s">
        <v>80</v>
      </c>
      <c r="U4" s="5" t="s">
        <v>81</v>
      </c>
      <c r="V4" s="5" t="s">
        <v>82</v>
      </c>
      <c r="W4" s="5" t="s">
        <v>83</v>
      </c>
      <c r="X4" s="5" t="s">
        <v>84</v>
      </c>
      <c r="Y4" s="5" t="s">
        <v>85</v>
      </c>
      <c r="Z4" s="5" t="s">
        <v>86</v>
      </c>
      <c r="AA4" s="5" t="s">
        <v>87</v>
      </c>
      <c r="AB4" s="5" t="s">
        <v>88</v>
      </c>
      <c r="AC4" s="5" t="s">
        <v>96</v>
      </c>
      <c r="AD4" s="5" t="s">
        <v>97</v>
      </c>
      <c r="AE4" s="5" t="s">
        <v>98</v>
      </c>
      <c r="AF4" s="5" t="s">
        <v>99</v>
      </c>
    </row>
    <row r="5" customFormat="false" ht="15" hidden="false" customHeight="false" outlineLevel="0" collapsed="false">
      <c r="A5" s="12" t="n">
        <v>1</v>
      </c>
      <c r="B5" s="8" t="s">
        <v>100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21" t="n">
        <f aca="false">SUM(C5:AB5)</f>
        <v>0</v>
      </c>
      <c r="AD5" s="22" t="str">
        <f aca="false">IFERROR(AVERAGE(C5:AB5),"")</f>
        <v/>
      </c>
      <c r="AE5" s="21" t="n">
        <f aca="false">COUNT(C5:AB5)</f>
        <v>0</v>
      </c>
      <c r="AF5" s="21" t="n">
        <f aca="false">COUNTIF(C5:AB5,"&lt;10")</f>
        <v>0</v>
      </c>
    </row>
    <row r="6" customFormat="false" ht="15" hidden="false" customHeight="false" outlineLevel="0" collapsed="false">
      <c r="A6" s="12" t="n">
        <v>2</v>
      </c>
      <c r="B6" s="8" t="s">
        <v>101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21" t="n">
        <f aca="false">SUM(C6:AB6)</f>
        <v>0</v>
      </c>
      <c r="AD6" s="22" t="str">
        <f aca="false">IFERROR(AVERAGE(C6:AB6),"")</f>
        <v/>
      </c>
      <c r="AE6" s="21" t="n">
        <f aca="false">COUNT(C6:AB6)</f>
        <v>0</v>
      </c>
      <c r="AF6" s="21" t="n">
        <f aca="false">COUNTIF(C6:AB6,"&lt;10")</f>
        <v>0</v>
      </c>
    </row>
    <row r="7" customFormat="false" ht="15" hidden="false" customHeight="false" outlineLevel="0" collapsed="false">
      <c r="A7" s="12" t="n">
        <v>3</v>
      </c>
      <c r="B7" s="8" t="s">
        <v>102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21" t="n">
        <f aca="false">SUM(C7:AB7)</f>
        <v>0</v>
      </c>
      <c r="AD7" s="22" t="str">
        <f aca="false">IFERROR(AVERAGE(C7:AB7),"")</f>
        <v/>
      </c>
      <c r="AE7" s="21" t="n">
        <f aca="false">COUNT(C7:AB7)</f>
        <v>0</v>
      </c>
      <c r="AF7" s="21" t="n">
        <f aca="false">COUNTIF(C7:AB7,"&lt;10")</f>
        <v>0</v>
      </c>
    </row>
    <row r="8" customFormat="false" ht="15" hidden="false" customHeight="false" outlineLevel="0" collapsed="false">
      <c r="A8" s="12" t="n">
        <v>4</v>
      </c>
      <c r="B8" s="8" t="s">
        <v>103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21" t="n">
        <f aca="false">SUM(C8:AB8)</f>
        <v>0</v>
      </c>
      <c r="AD8" s="22" t="str">
        <f aca="false">IFERROR(AVERAGE(C8:AB8),"")</f>
        <v/>
      </c>
      <c r="AE8" s="21" t="n">
        <f aca="false">COUNT(C8:AB8)</f>
        <v>0</v>
      </c>
      <c r="AF8" s="21" t="n">
        <f aca="false">COUNTIF(C8:AB8,"&lt;10")</f>
        <v>0</v>
      </c>
    </row>
    <row r="9" customFormat="false" ht="15" hidden="false" customHeight="false" outlineLevel="0" collapsed="false">
      <c r="A9" s="12" t="n">
        <v>5</v>
      </c>
      <c r="B9" s="8" t="s">
        <v>104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21" t="n">
        <f aca="false">SUM(C9:AB9)</f>
        <v>0</v>
      </c>
      <c r="AD9" s="22" t="str">
        <f aca="false">IFERROR(AVERAGE(C9:AB9),"")</f>
        <v/>
      </c>
      <c r="AE9" s="21" t="n">
        <f aca="false">COUNT(C9:AB9)</f>
        <v>0</v>
      </c>
      <c r="AF9" s="21" t="n">
        <f aca="false">COUNTIF(C9:AB9,"&lt;10")</f>
        <v>0</v>
      </c>
    </row>
    <row r="10" customFormat="false" ht="15" hidden="false" customHeight="false" outlineLevel="0" collapsed="false">
      <c r="A10" s="12" t="n">
        <v>6</v>
      </c>
      <c r="B10" s="8" t="s">
        <v>105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21" t="n">
        <f aca="false">SUM(C10:AB10)</f>
        <v>0</v>
      </c>
      <c r="AD10" s="22" t="str">
        <f aca="false">IFERROR(AVERAGE(C10:AB10),"")</f>
        <v/>
      </c>
      <c r="AE10" s="21" t="n">
        <f aca="false">COUNT(C10:AB10)</f>
        <v>0</v>
      </c>
      <c r="AF10" s="21" t="n">
        <f aca="false">COUNTIF(C10:AB10,"&lt;10")</f>
        <v>0</v>
      </c>
    </row>
    <row r="11" customFormat="false" ht="15" hidden="false" customHeight="false" outlineLevel="0" collapsed="false">
      <c r="A11" s="12" t="n">
        <v>7</v>
      </c>
      <c r="B11" s="8" t="s">
        <v>106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21" t="n">
        <f aca="false">SUM(C11:AB11)</f>
        <v>0</v>
      </c>
      <c r="AD11" s="22" t="str">
        <f aca="false">IFERROR(AVERAGE(C11:AB11),"")</f>
        <v/>
      </c>
      <c r="AE11" s="21" t="n">
        <f aca="false">COUNT(C11:AB11)</f>
        <v>0</v>
      </c>
      <c r="AF11" s="21" t="n">
        <f aca="false">COUNTIF(C11:AB11,"&lt;10")</f>
        <v>0</v>
      </c>
    </row>
    <row r="12" customFormat="false" ht="15" hidden="false" customHeight="false" outlineLevel="0" collapsed="false">
      <c r="A12" s="12" t="n">
        <v>8</v>
      </c>
      <c r="B12" s="8" t="s">
        <v>107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21" t="n">
        <f aca="false">SUM(C12:AB12)</f>
        <v>0</v>
      </c>
      <c r="AD12" s="22" t="str">
        <f aca="false">IFERROR(AVERAGE(C12:AB12),"")</f>
        <v/>
      </c>
      <c r="AE12" s="21" t="n">
        <f aca="false">COUNT(C12:AB12)</f>
        <v>0</v>
      </c>
      <c r="AF12" s="21" t="n">
        <f aca="false">COUNTIF(C12:AB12,"&lt;10")</f>
        <v>0</v>
      </c>
    </row>
    <row r="13" customFormat="false" ht="15" hidden="false" customHeight="false" outlineLevel="0" collapsed="false">
      <c r="A13" s="12" t="n">
        <v>9</v>
      </c>
      <c r="B13" s="8" t="s">
        <v>108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21" t="n">
        <f aca="false">SUM(C13:AB13)</f>
        <v>0</v>
      </c>
      <c r="AD13" s="22" t="str">
        <f aca="false">IFERROR(AVERAGE(C13:AB13),"")</f>
        <v/>
      </c>
      <c r="AE13" s="21" t="n">
        <f aca="false">COUNT(C13:AB13)</f>
        <v>0</v>
      </c>
      <c r="AF13" s="21" t="n">
        <f aca="false">COUNTIF(C13:AB13,"&lt;10")</f>
        <v>0</v>
      </c>
    </row>
    <row r="14" customFormat="false" ht="15" hidden="false" customHeight="false" outlineLevel="0" collapsed="false">
      <c r="A14" s="12" t="n">
        <v>10</v>
      </c>
      <c r="B14" s="8" t="s">
        <v>109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21" t="n">
        <f aca="false">SUM(C14:AB14)</f>
        <v>0</v>
      </c>
      <c r="AD14" s="22" t="str">
        <f aca="false">IFERROR(AVERAGE(C14:AB14),"")</f>
        <v/>
      </c>
      <c r="AE14" s="21" t="n">
        <f aca="false">COUNT(C14:AB14)</f>
        <v>0</v>
      </c>
      <c r="AF14" s="21" t="n">
        <f aca="false">COUNTIF(C14:AB14,"&lt;10")</f>
        <v>0</v>
      </c>
    </row>
    <row r="15" customFormat="false" ht="15" hidden="false" customHeight="false" outlineLevel="0" collapsed="false">
      <c r="A15" s="12" t="n">
        <v>11</v>
      </c>
      <c r="B15" s="8" t="s">
        <v>110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21" t="n">
        <f aca="false">SUM(C15:AB15)</f>
        <v>0</v>
      </c>
      <c r="AD15" s="22" t="str">
        <f aca="false">IFERROR(AVERAGE(C15:AB15),"")</f>
        <v/>
      </c>
      <c r="AE15" s="21" t="n">
        <f aca="false">COUNT(C15:AB15)</f>
        <v>0</v>
      </c>
      <c r="AF15" s="21" t="n">
        <f aca="false">COUNTIF(C15:AB15,"&lt;10")</f>
        <v>0</v>
      </c>
    </row>
    <row r="16" customFormat="false" ht="15" hidden="false" customHeight="false" outlineLevel="0" collapsed="false">
      <c r="A16" s="12" t="n">
        <v>12</v>
      </c>
      <c r="B16" s="8" t="s">
        <v>111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21" t="n">
        <f aca="false">SUM(C16:AB16)</f>
        <v>0</v>
      </c>
      <c r="AD16" s="22" t="str">
        <f aca="false">IFERROR(AVERAGE(C16:AB16),"")</f>
        <v/>
      </c>
      <c r="AE16" s="21" t="n">
        <f aca="false">COUNT(C16:AB16)</f>
        <v>0</v>
      </c>
      <c r="AF16" s="21" t="n">
        <f aca="false">COUNTIF(C16:AB16,"&lt;10")</f>
        <v>0</v>
      </c>
    </row>
    <row r="17" customFormat="false" ht="15" hidden="false" customHeight="false" outlineLevel="0" collapsed="false">
      <c r="A17" s="23"/>
      <c r="B17" s="24" t="s">
        <v>112</v>
      </c>
      <c r="C17" s="17" t="str">
        <f aca="false">IF(SUM(C5:C16)=0,"",SUM(C5:C16))</f>
        <v/>
      </c>
      <c r="D17" s="17" t="str">
        <f aca="false">IF(SUM(D5:D16)=0,"",SUM(D5:D16))</f>
        <v/>
      </c>
      <c r="E17" s="17" t="str">
        <f aca="false">IF(SUM(E5:E16)=0,"",SUM(E5:E16))</f>
        <v/>
      </c>
      <c r="F17" s="17" t="str">
        <f aca="false">IF(SUM(F5:F16)=0,"",SUM(F5:F16))</f>
        <v/>
      </c>
      <c r="G17" s="17" t="str">
        <f aca="false">IF(SUM(G5:G16)=0,"",SUM(G5:G16))</f>
        <v/>
      </c>
      <c r="H17" s="17" t="str">
        <f aca="false">IF(SUM(H5:H16)=0,"",SUM(H5:H16))</f>
        <v/>
      </c>
      <c r="I17" s="17" t="str">
        <f aca="false">IF(SUM(I5:I16)=0,"",SUM(I5:I16))</f>
        <v/>
      </c>
      <c r="J17" s="17" t="str">
        <f aca="false">IF(SUM(J5:J16)=0,"",SUM(J5:J16))</f>
        <v/>
      </c>
      <c r="K17" s="17" t="str">
        <f aca="false">IF(SUM(K5:K16)=0,"",SUM(K5:K16))</f>
        <v/>
      </c>
      <c r="L17" s="17" t="str">
        <f aca="false">IF(SUM(L5:L16)=0,"",SUM(L5:L16))</f>
        <v/>
      </c>
      <c r="M17" s="17" t="str">
        <f aca="false">IF(SUM(M5:M16)=0,"",SUM(M5:M16))</f>
        <v/>
      </c>
      <c r="N17" s="17" t="str">
        <f aca="false">IF(SUM(N5:N16)=0,"",SUM(N5:N16))</f>
        <v/>
      </c>
      <c r="O17" s="17" t="str">
        <f aca="false">IF(SUM(O5:O16)=0,"",SUM(O5:O16))</f>
        <v/>
      </c>
      <c r="P17" s="17" t="str">
        <f aca="false">IF(SUM(P5:P16)=0,"",SUM(P5:P16))</f>
        <v/>
      </c>
      <c r="Q17" s="17" t="str">
        <f aca="false">IF(SUM(Q5:Q16)=0,"",SUM(Q5:Q16))</f>
        <v/>
      </c>
      <c r="R17" s="17" t="str">
        <f aca="false">IF(SUM(R5:R16)=0,"",SUM(R5:R16))</f>
        <v/>
      </c>
      <c r="S17" s="17" t="str">
        <f aca="false">IF(SUM(S5:S16)=0,"",SUM(S5:S16))</f>
        <v/>
      </c>
      <c r="T17" s="17" t="str">
        <f aca="false">IF(SUM(T5:T16)=0,"",SUM(T5:T16))</f>
        <v/>
      </c>
      <c r="U17" s="17" t="str">
        <f aca="false">IF(SUM(U5:U16)=0,"",SUM(U5:U16))</f>
        <v/>
      </c>
      <c r="V17" s="17" t="str">
        <f aca="false">IF(SUM(V5:V16)=0,"",SUM(V5:V16))</f>
        <v/>
      </c>
      <c r="W17" s="17" t="str">
        <f aca="false">IF(SUM(W5:W16)=0,"",SUM(W5:W16))</f>
        <v/>
      </c>
      <c r="X17" s="17" t="str">
        <f aca="false">IF(SUM(X5:X16)=0,"",SUM(X5:X16))</f>
        <v/>
      </c>
      <c r="Y17" s="17" t="str">
        <f aca="false">IF(SUM(Y5:Y16)=0,"",SUM(Y5:Y16))</f>
        <v/>
      </c>
      <c r="Z17" s="17" t="str">
        <f aca="false">IF(SUM(Z5:Z16)=0,"",SUM(Z5:Z16))</f>
        <v/>
      </c>
      <c r="AA17" s="17" t="str">
        <f aca="false">IF(SUM(AA5:AA16)=0,"",SUM(AA5:AA16))</f>
        <v/>
      </c>
      <c r="AB17" s="17" t="str">
        <f aca="false">IF(SUM(AB5:AB16)=0,"",SUM(AB5:AB16))</f>
        <v/>
      </c>
    </row>
    <row r="19" customFormat="false" ht="15" hidden="false" customHeight="false" outlineLevel="0" collapsed="false">
      <c r="B19" s="10" t="s">
        <v>113</v>
      </c>
    </row>
  </sheetData>
  <conditionalFormatting sqref="AF5:AF16">
    <cfRule type="expression" priority="2" aboveAverage="0" equalAverage="0" bottom="0" percent="0" rank="0" text="" dxfId="1">
      <formula>AF5&gt;0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22" min="3" style="0" width="8"/>
  </cols>
  <sheetData>
    <row r="1" customFormat="false" ht="17.35" hidden="false" customHeight="false" outlineLevel="0" collapsed="false">
      <c r="A1" s="1" t="s">
        <v>114</v>
      </c>
    </row>
    <row r="2" customFormat="false" ht="15" hidden="false" customHeight="false" outlineLevel="0" collapsed="false">
      <c r="A2" s="10" t="s">
        <v>115</v>
      </c>
    </row>
    <row r="4" customFormat="false" ht="30" hidden="false" customHeight="true" outlineLevel="0" collapsed="false">
      <c r="A4" s="25" t="s">
        <v>94</v>
      </c>
      <c r="B4" s="25" t="s">
        <v>95</v>
      </c>
      <c r="C4" s="11" t="s">
        <v>116</v>
      </c>
      <c r="D4" s="11"/>
      <c r="E4" s="11"/>
      <c r="F4" s="11"/>
      <c r="G4" s="11"/>
      <c r="H4" s="11" t="s">
        <v>117</v>
      </c>
      <c r="I4" s="11"/>
      <c r="J4" s="11"/>
      <c r="K4" s="11"/>
      <c r="L4" s="11"/>
      <c r="M4" s="11" t="s">
        <v>118</v>
      </c>
      <c r="N4" s="11"/>
      <c r="O4" s="11"/>
      <c r="P4" s="11"/>
      <c r="Q4" s="11"/>
      <c r="R4" s="11" t="s">
        <v>119</v>
      </c>
      <c r="S4" s="11"/>
      <c r="T4" s="11"/>
      <c r="U4" s="11"/>
      <c r="V4" s="11"/>
    </row>
    <row r="5" customFormat="false" ht="15" hidden="false" customHeight="false" outlineLevel="0" collapsed="false">
      <c r="A5" s="25"/>
      <c r="B5" s="25"/>
      <c r="C5" s="5" t="s">
        <v>120</v>
      </c>
      <c r="D5" s="5" t="s">
        <v>121</v>
      </c>
      <c r="E5" s="5" t="s">
        <v>122</v>
      </c>
      <c r="F5" s="5" t="s">
        <v>123</v>
      </c>
      <c r="G5" s="5" t="s">
        <v>124</v>
      </c>
      <c r="H5" s="5" t="s">
        <v>120</v>
      </c>
      <c r="I5" s="5" t="s">
        <v>121</v>
      </c>
      <c r="J5" s="5" t="s">
        <v>122</v>
      </c>
      <c r="K5" s="5" t="s">
        <v>123</v>
      </c>
      <c r="L5" s="5" t="s">
        <v>124</v>
      </c>
      <c r="M5" s="5" t="s">
        <v>120</v>
      </c>
      <c r="N5" s="5" t="s">
        <v>121</v>
      </c>
      <c r="O5" s="5" t="s">
        <v>122</v>
      </c>
      <c r="P5" s="5" t="s">
        <v>123</v>
      </c>
      <c r="Q5" s="5" t="s">
        <v>124</v>
      </c>
      <c r="R5" s="5" t="s">
        <v>120</v>
      </c>
      <c r="S5" s="5" t="s">
        <v>121</v>
      </c>
      <c r="T5" s="5" t="s">
        <v>122</v>
      </c>
      <c r="U5" s="5" t="s">
        <v>123</v>
      </c>
      <c r="V5" s="5" t="s">
        <v>124</v>
      </c>
    </row>
    <row r="6" customFormat="false" ht="15" hidden="false" customHeight="false" outlineLevel="0" collapsed="false">
      <c r="A6" s="12" t="n">
        <v>1</v>
      </c>
      <c r="B6" s="8" t="s">
        <v>100</v>
      </c>
      <c r="C6" s="26"/>
      <c r="D6" s="26"/>
      <c r="E6" s="26"/>
      <c r="F6" s="26"/>
      <c r="G6" s="27" t="str">
        <f aca="false">IF(OR(C6="",F6=""),"",F6-C6)</f>
        <v/>
      </c>
      <c r="H6" s="26"/>
      <c r="I6" s="26"/>
      <c r="J6" s="26"/>
      <c r="K6" s="26"/>
      <c r="L6" s="27" t="str">
        <f aca="false">IF(OR(H6="",K6=""),"",H6-K6)</f>
        <v/>
      </c>
      <c r="M6" s="26"/>
      <c r="N6" s="26"/>
      <c r="O6" s="26"/>
      <c r="P6" s="26"/>
      <c r="Q6" s="27" t="str">
        <f aca="false">IF(OR(M6="",P6=""),"",M6-P6)</f>
        <v/>
      </c>
      <c r="R6" s="26"/>
      <c r="S6" s="26"/>
      <c r="T6" s="26"/>
      <c r="U6" s="26"/>
      <c r="V6" s="27" t="str">
        <f aca="false">IF(OR(R6="",U6=""),"",U6-R6)</f>
        <v/>
      </c>
    </row>
    <row r="7" customFormat="false" ht="15" hidden="false" customHeight="false" outlineLevel="0" collapsed="false">
      <c r="A7" s="12" t="n">
        <v>2</v>
      </c>
      <c r="B7" s="8" t="s">
        <v>101</v>
      </c>
      <c r="C7" s="26"/>
      <c r="D7" s="26"/>
      <c r="E7" s="26"/>
      <c r="F7" s="26"/>
      <c r="G7" s="27" t="str">
        <f aca="false">IF(OR(C7="",F7=""),"",F7-C7)</f>
        <v/>
      </c>
      <c r="H7" s="26"/>
      <c r="I7" s="26"/>
      <c r="J7" s="26"/>
      <c r="K7" s="26"/>
      <c r="L7" s="27" t="str">
        <f aca="false">IF(OR(H7="",K7=""),"",H7-K7)</f>
        <v/>
      </c>
      <c r="M7" s="26"/>
      <c r="N7" s="26"/>
      <c r="O7" s="26"/>
      <c r="P7" s="26"/>
      <c r="Q7" s="27" t="str">
        <f aca="false">IF(OR(M7="",P7=""),"",M7-P7)</f>
        <v/>
      </c>
      <c r="R7" s="26"/>
      <c r="S7" s="26"/>
      <c r="T7" s="26"/>
      <c r="U7" s="26"/>
      <c r="V7" s="27" t="str">
        <f aca="false">IF(OR(R7="",U7=""),"",U7-R7)</f>
        <v/>
      </c>
    </row>
    <row r="8" customFormat="false" ht="15" hidden="false" customHeight="false" outlineLevel="0" collapsed="false">
      <c r="A8" s="12" t="n">
        <v>3</v>
      </c>
      <c r="B8" s="8" t="s">
        <v>102</v>
      </c>
      <c r="C8" s="26"/>
      <c r="D8" s="26"/>
      <c r="E8" s="26"/>
      <c r="F8" s="26"/>
      <c r="G8" s="27" t="str">
        <f aca="false">IF(OR(C8="",F8=""),"",F8-C8)</f>
        <v/>
      </c>
      <c r="H8" s="26"/>
      <c r="I8" s="26"/>
      <c r="J8" s="26"/>
      <c r="K8" s="26"/>
      <c r="L8" s="27" t="str">
        <f aca="false">IF(OR(H8="",K8=""),"",H8-K8)</f>
        <v/>
      </c>
      <c r="M8" s="26"/>
      <c r="N8" s="26"/>
      <c r="O8" s="26"/>
      <c r="P8" s="26"/>
      <c r="Q8" s="27" t="str">
        <f aca="false">IF(OR(M8="",P8=""),"",M8-P8)</f>
        <v/>
      </c>
      <c r="R8" s="26"/>
      <c r="S8" s="26"/>
      <c r="T8" s="26"/>
      <c r="U8" s="26"/>
      <c r="V8" s="27" t="str">
        <f aca="false">IF(OR(R8="",U8=""),"",U8-R8)</f>
        <v/>
      </c>
    </row>
    <row r="9" customFormat="false" ht="15" hidden="false" customHeight="false" outlineLevel="0" collapsed="false">
      <c r="A9" s="12" t="n">
        <v>4</v>
      </c>
      <c r="B9" s="8" t="s">
        <v>103</v>
      </c>
      <c r="C9" s="26"/>
      <c r="D9" s="26"/>
      <c r="E9" s="26"/>
      <c r="F9" s="26"/>
      <c r="G9" s="27" t="str">
        <f aca="false">IF(OR(C9="",F9=""),"",F9-C9)</f>
        <v/>
      </c>
      <c r="H9" s="26"/>
      <c r="I9" s="26"/>
      <c r="J9" s="26"/>
      <c r="K9" s="26"/>
      <c r="L9" s="27" t="str">
        <f aca="false">IF(OR(H9="",K9=""),"",H9-K9)</f>
        <v/>
      </c>
      <c r="M9" s="26"/>
      <c r="N9" s="26"/>
      <c r="O9" s="26"/>
      <c r="P9" s="26"/>
      <c r="Q9" s="27" t="str">
        <f aca="false">IF(OR(M9="",P9=""),"",M9-P9)</f>
        <v/>
      </c>
      <c r="R9" s="26"/>
      <c r="S9" s="26"/>
      <c r="T9" s="26"/>
      <c r="U9" s="26"/>
      <c r="V9" s="27" t="str">
        <f aca="false">IF(OR(R9="",U9=""),"",U9-R9)</f>
        <v/>
      </c>
    </row>
    <row r="10" customFormat="false" ht="15" hidden="false" customHeight="false" outlineLevel="0" collapsed="false">
      <c r="A10" s="12" t="n">
        <v>5</v>
      </c>
      <c r="B10" s="8" t="s">
        <v>104</v>
      </c>
      <c r="C10" s="26"/>
      <c r="D10" s="26"/>
      <c r="E10" s="26"/>
      <c r="F10" s="26"/>
      <c r="G10" s="27" t="str">
        <f aca="false">IF(OR(C10="",F10=""),"",F10-C10)</f>
        <v/>
      </c>
      <c r="H10" s="26"/>
      <c r="I10" s="26"/>
      <c r="J10" s="26"/>
      <c r="K10" s="26"/>
      <c r="L10" s="27" t="str">
        <f aca="false">IF(OR(H10="",K10=""),"",H10-K10)</f>
        <v/>
      </c>
      <c r="M10" s="26"/>
      <c r="N10" s="26"/>
      <c r="O10" s="26"/>
      <c r="P10" s="26"/>
      <c r="Q10" s="27" t="str">
        <f aca="false">IF(OR(M10="",P10=""),"",M10-P10)</f>
        <v/>
      </c>
      <c r="R10" s="26"/>
      <c r="S10" s="26"/>
      <c r="T10" s="26"/>
      <c r="U10" s="26"/>
      <c r="V10" s="27" t="str">
        <f aca="false">IF(OR(R10="",U10=""),"",U10-R10)</f>
        <v/>
      </c>
    </row>
    <row r="11" customFormat="false" ht="15" hidden="false" customHeight="false" outlineLevel="0" collapsed="false">
      <c r="A11" s="12" t="n">
        <v>6</v>
      </c>
      <c r="B11" s="8" t="s">
        <v>105</v>
      </c>
      <c r="C11" s="26"/>
      <c r="D11" s="26"/>
      <c r="E11" s="26"/>
      <c r="F11" s="26"/>
      <c r="G11" s="27" t="str">
        <f aca="false">IF(OR(C11="",F11=""),"",F11-C11)</f>
        <v/>
      </c>
      <c r="H11" s="26"/>
      <c r="I11" s="26"/>
      <c r="J11" s="26"/>
      <c r="K11" s="26"/>
      <c r="L11" s="27" t="str">
        <f aca="false">IF(OR(H11="",K11=""),"",H11-K11)</f>
        <v/>
      </c>
      <c r="M11" s="26"/>
      <c r="N11" s="26"/>
      <c r="O11" s="26"/>
      <c r="P11" s="26"/>
      <c r="Q11" s="27" t="str">
        <f aca="false">IF(OR(M11="",P11=""),"",M11-P11)</f>
        <v/>
      </c>
      <c r="R11" s="26"/>
      <c r="S11" s="26"/>
      <c r="T11" s="26"/>
      <c r="U11" s="26"/>
      <c r="V11" s="27" t="str">
        <f aca="false">IF(OR(R11="",U11=""),"",U11-R11)</f>
        <v/>
      </c>
    </row>
    <row r="12" customFormat="false" ht="15" hidden="false" customHeight="false" outlineLevel="0" collapsed="false">
      <c r="A12" s="12" t="n">
        <v>7</v>
      </c>
      <c r="B12" s="8" t="s">
        <v>106</v>
      </c>
      <c r="C12" s="26"/>
      <c r="D12" s="26"/>
      <c r="E12" s="26"/>
      <c r="F12" s="26"/>
      <c r="G12" s="27" t="str">
        <f aca="false">IF(OR(C12="",F12=""),"",F12-C12)</f>
        <v/>
      </c>
      <c r="H12" s="26"/>
      <c r="I12" s="26"/>
      <c r="J12" s="26"/>
      <c r="K12" s="26"/>
      <c r="L12" s="27" t="str">
        <f aca="false">IF(OR(H12="",K12=""),"",H12-K12)</f>
        <v/>
      </c>
      <c r="M12" s="26"/>
      <c r="N12" s="26"/>
      <c r="O12" s="26"/>
      <c r="P12" s="26"/>
      <c r="Q12" s="27" t="str">
        <f aca="false">IF(OR(M12="",P12=""),"",M12-P12)</f>
        <v/>
      </c>
      <c r="R12" s="26"/>
      <c r="S12" s="26"/>
      <c r="T12" s="26"/>
      <c r="U12" s="26"/>
      <c r="V12" s="27" t="str">
        <f aca="false">IF(OR(R12="",U12=""),"",U12-R12)</f>
        <v/>
      </c>
    </row>
    <row r="13" customFormat="false" ht="15" hidden="false" customHeight="false" outlineLevel="0" collapsed="false">
      <c r="A13" s="12" t="n">
        <v>8</v>
      </c>
      <c r="B13" s="8" t="s">
        <v>107</v>
      </c>
      <c r="C13" s="26"/>
      <c r="D13" s="26"/>
      <c r="E13" s="26"/>
      <c r="F13" s="26"/>
      <c r="G13" s="27" t="str">
        <f aca="false">IF(OR(C13="",F13=""),"",F13-C13)</f>
        <v/>
      </c>
      <c r="H13" s="26"/>
      <c r="I13" s="26"/>
      <c r="J13" s="26"/>
      <c r="K13" s="26"/>
      <c r="L13" s="27" t="str">
        <f aca="false">IF(OR(H13="",K13=""),"",H13-K13)</f>
        <v/>
      </c>
      <c r="M13" s="26"/>
      <c r="N13" s="26"/>
      <c r="O13" s="26"/>
      <c r="P13" s="26"/>
      <c r="Q13" s="27" t="str">
        <f aca="false">IF(OR(M13="",P13=""),"",M13-P13)</f>
        <v/>
      </c>
      <c r="R13" s="26"/>
      <c r="S13" s="26"/>
      <c r="T13" s="26"/>
      <c r="U13" s="26"/>
      <c r="V13" s="27" t="str">
        <f aca="false">IF(OR(R13="",U13=""),"",U13-R13)</f>
        <v/>
      </c>
    </row>
    <row r="14" customFormat="false" ht="15" hidden="false" customHeight="false" outlineLevel="0" collapsed="false">
      <c r="A14" s="12" t="n">
        <v>9</v>
      </c>
      <c r="B14" s="8" t="s">
        <v>108</v>
      </c>
      <c r="C14" s="26"/>
      <c r="D14" s="26"/>
      <c r="E14" s="26"/>
      <c r="F14" s="26"/>
      <c r="G14" s="27" t="str">
        <f aca="false">IF(OR(C14="",F14=""),"",F14-C14)</f>
        <v/>
      </c>
      <c r="H14" s="26"/>
      <c r="I14" s="26"/>
      <c r="J14" s="26"/>
      <c r="K14" s="26"/>
      <c r="L14" s="27" t="str">
        <f aca="false">IF(OR(H14="",K14=""),"",H14-K14)</f>
        <v/>
      </c>
      <c r="M14" s="26"/>
      <c r="N14" s="26"/>
      <c r="O14" s="26"/>
      <c r="P14" s="26"/>
      <c r="Q14" s="27" t="str">
        <f aca="false">IF(OR(M14="",P14=""),"",M14-P14)</f>
        <v/>
      </c>
      <c r="R14" s="26"/>
      <c r="S14" s="26"/>
      <c r="T14" s="26"/>
      <c r="U14" s="26"/>
      <c r="V14" s="27" t="str">
        <f aca="false">IF(OR(R14="",U14=""),"",U14-R14)</f>
        <v/>
      </c>
    </row>
    <row r="15" customFormat="false" ht="15" hidden="false" customHeight="false" outlineLevel="0" collapsed="false">
      <c r="A15" s="12" t="n">
        <v>10</v>
      </c>
      <c r="B15" s="8" t="s">
        <v>109</v>
      </c>
      <c r="C15" s="26"/>
      <c r="D15" s="26"/>
      <c r="E15" s="26"/>
      <c r="F15" s="26"/>
      <c r="G15" s="27" t="str">
        <f aca="false">IF(OR(C15="",F15=""),"",F15-C15)</f>
        <v/>
      </c>
      <c r="H15" s="26"/>
      <c r="I15" s="26"/>
      <c r="J15" s="26"/>
      <c r="K15" s="26"/>
      <c r="L15" s="27" t="str">
        <f aca="false">IF(OR(H15="",K15=""),"",H15-K15)</f>
        <v/>
      </c>
      <c r="M15" s="26"/>
      <c r="N15" s="26"/>
      <c r="O15" s="26"/>
      <c r="P15" s="26"/>
      <c r="Q15" s="27" t="str">
        <f aca="false">IF(OR(M15="",P15=""),"",M15-P15)</f>
        <v/>
      </c>
      <c r="R15" s="26"/>
      <c r="S15" s="26"/>
      <c r="T15" s="26"/>
      <c r="U15" s="26"/>
      <c r="V15" s="27" t="str">
        <f aca="false">IF(OR(R15="",U15=""),"",U15-R15)</f>
        <v/>
      </c>
    </row>
    <row r="16" customFormat="false" ht="15" hidden="false" customHeight="false" outlineLevel="0" collapsed="false">
      <c r="A16" s="12" t="n">
        <v>11</v>
      </c>
      <c r="B16" s="8" t="s">
        <v>110</v>
      </c>
      <c r="C16" s="26"/>
      <c r="D16" s="26"/>
      <c r="E16" s="26"/>
      <c r="F16" s="26"/>
      <c r="G16" s="27" t="str">
        <f aca="false">IF(OR(C16="",F16=""),"",F16-C16)</f>
        <v/>
      </c>
      <c r="H16" s="26"/>
      <c r="I16" s="26"/>
      <c r="J16" s="26"/>
      <c r="K16" s="26"/>
      <c r="L16" s="27" t="str">
        <f aca="false">IF(OR(H16="",K16=""),"",H16-K16)</f>
        <v/>
      </c>
      <c r="M16" s="26"/>
      <c r="N16" s="26"/>
      <c r="O16" s="26"/>
      <c r="P16" s="26"/>
      <c r="Q16" s="27" t="str">
        <f aca="false">IF(OR(M16="",P16=""),"",M16-P16)</f>
        <v/>
      </c>
      <c r="R16" s="26"/>
      <c r="S16" s="26"/>
      <c r="T16" s="26"/>
      <c r="U16" s="26"/>
      <c r="V16" s="27" t="str">
        <f aca="false">IF(OR(R16="",U16=""),"",U16-R16)</f>
        <v/>
      </c>
    </row>
    <row r="17" customFormat="false" ht="15" hidden="false" customHeight="false" outlineLevel="0" collapsed="false">
      <c r="A17" s="12" t="n">
        <v>12</v>
      </c>
      <c r="B17" s="8" t="s">
        <v>111</v>
      </c>
      <c r="C17" s="26"/>
      <c r="D17" s="26"/>
      <c r="E17" s="26"/>
      <c r="F17" s="26"/>
      <c r="G17" s="27" t="str">
        <f aca="false">IF(OR(C17="",F17=""),"",F17-C17)</f>
        <v/>
      </c>
      <c r="H17" s="26"/>
      <c r="I17" s="26"/>
      <c r="J17" s="26"/>
      <c r="K17" s="26"/>
      <c r="L17" s="27" t="str">
        <f aca="false">IF(OR(H17="",K17=""),"",H17-K17)</f>
        <v/>
      </c>
      <c r="M17" s="26"/>
      <c r="N17" s="26"/>
      <c r="O17" s="26"/>
      <c r="P17" s="26"/>
      <c r="Q17" s="27" t="str">
        <f aca="false">IF(OR(M17="",P17=""),"",M17-P17)</f>
        <v/>
      </c>
      <c r="R17" s="26"/>
      <c r="S17" s="26"/>
      <c r="T17" s="26"/>
      <c r="U17" s="26"/>
      <c r="V17" s="27" t="str">
        <f aca="false">IF(OR(R17="",U17=""),"",U17-R17)</f>
        <v/>
      </c>
    </row>
    <row r="19" customFormat="false" ht="15" hidden="false" customHeight="false" outlineLevel="0" collapsed="false">
      <c r="B19" s="10" t="s">
        <v>125</v>
      </c>
    </row>
  </sheetData>
  <mergeCells count="6">
    <mergeCell ref="A4:A5"/>
    <mergeCell ref="B4:B5"/>
    <mergeCell ref="C4:G4"/>
    <mergeCell ref="H4:L4"/>
    <mergeCell ref="M4:Q4"/>
    <mergeCell ref="R4:V4"/>
  </mergeCells>
  <conditionalFormatting sqref="G6:G17">
    <cfRule type="expression" priority="2" aboveAverage="0" equalAverage="0" bottom="0" percent="0" rank="0" text="" dxfId="0">
      <formula>AND(G6&lt;&gt;"",G6&gt;0)</formula>
    </cfRule>
    <cfRule type="expression" priority="3" aboveAverage="0" equalAverage="0" bottom="0" percent="0" rank="0" text="" dxfId="1">
      <formula>AND(G6&lt;&gt;"",G6&lt;=0)</formula>
    </cfRule>
  </conditionalFormatting>
  <conditionalFormatting sqref="L6:L17">
    <cfRule type="expression" priority="4" aboveAverage="0" equalAverage="0" bottom="0" percent="0" rank="0" text="" dxfId="0">
      <formula>AND(L6&lt;&gt;"",L6&gt;0)</formula>
    </cfRule>
    <cfRule type="expression" priority="5" aboveAverage="0" equalAverage="0" bottom="0" percent="0" rank="0" text="" dxfId="1">
      <formula>AND(L6&lt;&gt;"",L6&lt;=0)</formula>
    </cfRule>
  </conditionalFormatting>
  <conditionalFormatting sqref="Q6:Q17">
    <cfRule type="expression" priority="6" aboveAverage="0" equalAverage="0" bottom="0" percent="0" rank="0" text="" dxfId="0">
      <formula>AND(Q6&lt;&gt;"",Q6&gt;0)</formula>
    </cfRule>
    <cfRule type="expression" priority="7" aboveAverage="0" equalAverage="0" bottom="0" percent="0" rank="0" text="" dxfId="1">
      <formula>AND(Q6&lt;&gt;"",Q6&lt;=0)</formula>
    </cfRule>
  </conditionalFormatting>
  <conditionalFormatting sqref="V6:V17">
    <cfRule type="expression" priority="8" aboveAverage="0" equalAverage="0" bottom="0" percent="0" rank="0" text="" dxfId="0">
      <formula>AND(V6&lt;&gt;"",V6&gt;0)</formula>
    </cfRule>
    <cfRule type="expression" priority="9" aboveAverage="0" equalAverage="0" bottom="0" percent="0" rank="0" text="" dxfId="1">
      <formula>AND(V6&lt;&gt;"",V6&lt;=0)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17" min="3" style="0" width="8"/>
  </cols>
  <sheetData>
    <row r="1" customFormat="false" ht="17.35" hidden="false" customHeight="false" outlineLevel="0" collapsed="false">
      <c r="A1" s="1" t="s">
        <v>126</v>
      </c>
    </row>
    <row r="2" customFormat="false" ht="15" hidden="false" customHeight="false" outlineLevel="0" collapsed="false">
      <c r="A2" s="10" t="s">
        <v>127</v>
      </c>
    </row>
    <row r="4" customFormat="false" ht="30" hidden="false" customHeight="true" outlineLevel="0" collapsed="false">
      <c r="A4" s="25" t="s">
        <v>94</v>
      </c>
      <c r="B4" s="25" t="s">
        <v>95</v>
      </c>
      <c r="C4" s="11" t="s">
        <v>128</v>
      </c>
      <c r="D4" s="11"/>
      <c r="E4" s="11"/>
      <c r="F4" s="11"/>
      <c r="G4" s="11"/>
      <c r="H4" s="11" t="s">
        <v>129</v>
      </c>
      <c r="I4" s="11"/>
      <c r="J4" s="11"/>
      <c r="K4" s="11"/>
      <c r="L4" s="11"/>
      <c r="M4" s="11" t="s">
        <v>130</v>
      </c>
      <c r="N4" s="11"/>
      <c r="O4" s="11"/>
      <c r="P4" s="11"/>
      <c r="Q4" s="11"/>
    </row>
    <row r="5" customFormat="false" ht="15" hidden="false" customHeight="false" outlineLevel="0" collapsed="false">
      <c r="A5" s="25"/>
      <c r="B5" s="25"/>
      <c r="C5" s="5" t="s">
        <v>120</v>
      </c>
      <c r="D5" s="5" t="s">
        <v>121</v>
      </c>
      <c r="E5" s="5" t="s">
        <v>122</v>
      </c>
      <c r="F5" s="5" t="s">
        <v>123</v>
      </c>
      <c r="G5" s="5" t="s">
        <v>124</v>
      </c>
      <c r="H5" s="5" t="s">
        <v>120</v>
      </c>
      <c r="I5" s="5" t="s">
        <v>121</v>
      </c>
      <c r="J5" s="5" t="s">
        <v>122</v>
      </c>
      <c r="K5" s="5" t="s">
        <v>123</v>
      </c>
      <c r="L5" s="5" t="s">
        <v>124</v>
      </c>
      <c r="M5" s="5" t="s">
        <v>120</v>
      </c>
      <c r="N5" s="5" t="s">
        <v>121</v>
      </c>
      <c r="O5" s="5" t="s">
        <v>122</v>
      </c>
      <c r="P5" s="5" t="s">
        <v>123</v>
      </c>
      <c r="Q5" s="5" t="s">
        <v>124</v>
      </c>
    </row>
    <row r="6" customFormat="false" ht="15" hidden="false" customHeight="false" outlineLevel="0" collapsed="false">
      <c r="A6" s="12" t="n">
        <v>1</v>
      </c>
      <c r="B6" s="8" t="s">
        <v>100</v>
      </c>
      <c r="C6" s="26"/>
      <c r="D6" s="26"/>
      <c r="E6" s="26"/>
      <c r="F6" s="26"/>
      <c r="G6" s="27" t="str">
        <f aca="false">IF(OR(C6="",F6=""),"",F6-C6)</f>
        <v/>
      </c>
      <c r="H6" s="26"/>
      <c r="I6" s="26"/>
      <c r="J6" s="26"/>
      <c r="K6" s="26"/>
      <c r="L6" s="27" t="str">
        <f aca="false">IF(OR(H6="",K6=""),"",K6-H6)</f>
        <v/>
      </c>
      <c r="M6" s="26"/>
      <c r="N6" s="26"/>
      <c r="O6" s="26"/>
      <c r="P6" s="26"/>
      <c r="Q6" s="27" t="str">
        <f aca="false">IF(OR(M6="",P6=""),"",M6-P6)</f>
        <v/>
      </c>
    </row>
    <row r="7" customFormat="false" ht="15" hidden="false" customHeight="false" outlineLevel="0" collapsed="false">
      <c r="A7" s="12" t="n">
        <v>2</v>
      </c>
      <c r="B7" s="8" t="s">
        <v>101</v>
      </c>
      <c r="C7" s="26"/>
      <c r="D7" s="26"/>
      <c r="E7" s="26"/>
      <c r="F7" s="26"/>
      <c r="G7" s="27" t="str">
        <f aca="false">IF(OR(C7="",F7=""),"",F7-C7)</f>
        <v/>
      </c>
      <c r="H7" s="26"/>
      <c r="I7" s="26"/>
      <c r="J7" s="26"/>
      <c r="K7" s="26"/>
      <c r="L7" s="27" t="str">
        <f aca="false">IF(OR(H7="",K7=""),"",K7-H7)</f>
        <v/>
      </c>
      <c r="M7" s="26"/>
      <c r="N7" s="26"/>
      <c r="O7" s="26"/>
      <c r="P7" s="26"/>
      <c r="Q7" s="27" t="str">
        <f aca="false">IF(OR(M7="",P7=""),"",M7-P7)</f>
        <v/>
      </c>
    </row>
    <row r="8" customFormat="false" ht="15" hidden="false" customHeight="false" outlineLevel="0" collapsed="false">
      <c r="A8" s="12" t="n">
        <v>3</v>
      </c>
      <c r="B8" s="8" t="s">
        <v>102</v>
      </c>
      <c r="C8" s="26"/>
      <c r="D8" s="26"/>
      <c r="E8" s="26"/>
      <c r="F8" s="26"/>
      <c r="G8" s="27" t="str">
        <f aca="false">IF(OR(C8="",F8=""),"",F8-C8)</f>
        <v/>
      </c>
      <c r="H8" s="26"/>
      <c r="I8" s="26"/>
      <c r="J8" s="26"/>
      <c r="K8" s="26"/>
      <c r="L8" s="27" t="str">
        <f aca="false">IF(OR(H8="",K8=""),"",K8-H8)</f>
        <v/>
      </c>
      <c r="M8" s="26"/>
      <c r="N8" s="26"/>
      <c r="O8" s="26"/>
      <c r="P8" s="26"/>
      <c r="Q8" s="27" t="str">
        <f aca="false">IF(OR(M8="",P8=""),"",M8-P8)</f>
        <v/>
      </c>
    </row>
    <row r="9" customFormat="false" ht="15" hidden="false" customHeight="false" outlineLevel="0" collapsed="false">
      <c r="A9" s="12" t="n">
        <v>4</v>
      </c>
      <c r="B9" s="8" t="s">
        <v>103</v>
      </c>
      <c r="C9" s="26"/>
      <c r="D9" s="26"/>
      <c r="E9" s="26"/>
      <c r="F9" s="26"/>
      <c r="G9" s="27" t="str">
        <f aca="false">IF(OR(C9="",F9=""),"",F9-C9)</f>
        <v/>
      </c>
      <c r="H9" s="26"/>
      <c r="I9" s="26"/>
      <c r="J9" s="26"/>
      <c r="K9" s="26"/>
      <c r="L9" s="27" t="str">
        <f aca="false">IF(OR(H9="",K9=""),"",K9-H9)</f>
        <v/>
      </c>
      <c r="M9" s="26"/>
      <c r="N9" s="26"/>
      <c r="O9" s="26"/>
      <c r="P9" s="26"/>
      <c r="Q9" s="27" t="str">
        <f aca="false">IF(OR(M9="",P9=""),"",M9-P9)</f>
        <v/>
      </c>
    </row>
    <row r="10" customFormat="false" ht="15" hidden="false" customHeight="false" outlineLevel="0" collapsed="false">
      <c r="A10" s="12" t="n">
        <v>5</v>
      </c>
      <c r="B10" s="8" t="s">
        <v>104</v>
      </c>
      <c r="C10" s="26"/>
      <c r="D10" s="26"/>
      <c r="E10" s="26"/>
      <c r="F10" s="26"/>
      <c r="G10" s="27" t="str">
        <f aca="false">IF(OR(C10="",F10=""),"",F10-C10)</f>
        <v/>
      </c>
      <c r="H10" s="26"/>
      <c r="I10" s="26"/>
      <c r="J10" s="26"/>
      <c r="K10" s="26"/>
      <c r="L10" s="27" t="str">
        <f aca="false">IF(OR(H10="",K10=""),"",K10-H10)</f>
        <v/>
      </c>
      <c r="M10" s="26"/>
      <c r="N10" s="26"/>
      <c r="O10" s="26"/>
      <c r="P10" s="26"/>
      <c r="Q10" s="27" t="str">
        <f aca="false">IF(OR(M10="",P10=""),"",M10-P10)</f>
        <v/>
      </c>
    </row>
    <row r="11" customFormat="false" ht="15" hidden="false" customHeight="false" outlineLevel="0" collapsed="false">
      <c r="A11" s="12" t="n">
        <v>6</v>
      </c>
      <c r="B11" s="8" t="s">
        <v>105</v>
      </c>
      <c r="C11" s="26"/>
      <c r="D11" s="26"/>
      <c r="E11" s="26"/>
      <c r="F11" s="26"/>
      <c r="G11" s="27" t="str">
        <f aca="false">IF(OR(C11="",F11=""),"",F11-C11)</f>
        <v/>
      </c>
      <c r="H11" s="26"/>
      <c r="I11" s="26"/>
      <c r="J11" s="26"/>
      <c r="K11" s="26"/>
      <c r="L11" s="27" t="str">
        <f aca="false">IF(OR(H11="",K11=""),"",K11-H11)</f>
        <v/>
      </c>
      <c r="M11" s="26"/>
      <c r="N11" s="26"/>
      <c r="O11" s="26"/>
      <c r="P11" s="26"/>
      <c r="Q11" s="27" t="str">
        <f aca="false">IF(OR(M11="",P11=""),"",M11-P11)</f>
        <v/>
      </c>
    </row>
    <row r="12" customFormat="false" ht="15" hidden="false" customHeight="false" outlineLevel="0" collapsed="false">
      <c r="A12" s="12" t="n">
        <v>7</v>
      </c>
      <c r="B12" s="8" t="s">
        <v>106</v>
      </c>
      <c r="C12" s="26"/>
      <c r="D12" s="26"/>
      <c r="E12" s="26"/>
      <c r="F12" s="26"/>
      <c r="G12" s="27" t="str">
        <f aca="false">IF(OR(C12="",F12=""),"",F12-C12)</f>
        <v/>
      </c>
      <c r="H12" s="26"/>
      <c r="I12" s="26"/>
      <c r="J12" s="26"/>
      <c r="K12" s="26"/>
      <c r="L12" s="27" t="str">
        <f aca="false">IF(OR(H12="",K12=""),"",K12-H12)</f>
        <v/>
      </c>
      <c r="M12" s="26"/>
      <c r="N12" s="26"/>
      <c r="O12" s="26"/>
      <c r="P12" s="26"/>
      <c r="Q12" s="27" t="str">
        <f aca="false">IF(OR(M12="",P12=""),"",M12-P12)</f>
        <v/>
      </c>
    </row>
    <row r="13" customFormat="false" ht="15" hidden="false" customHeight="false" outlineLevel="0" collapsed="false">
      <c r="A13" s="12" t="n">
        <v>8</v>
      </c>
      <c r="B13" s="8" t="s">
        <v>107</v>
      </c>
      <c r="C13" s="26"/>
      <c r="D13" s="26"/>
      <c r="E13" s="26"/>
      <c r="F13" s="26"/>
      <c r="G13" s="27" t="str">
        <f aca="false">IF(OR(C13="",F13=""),"",F13-C13)</f>
        <v/>
      </c>
      <c r="H13" s="26"/>
      <c r="I13" s="26"/>
      <c r="J13" s="26"/>
      <c r="K13" s="26"/>
      <c r="L13" s="27" t="str">
        <f aca="false">IF(OR(H13="",K13=""),"",K13-H13)</f>
        <v/>
      </c>
      <c r="M13" s="26"/>
      <c r="N13" s="26"/>
      <c r="O13" s="26"/>
      <c r="P13" s="26"/>
      <c r="Q13" s="27" t="str">
        <f aca="false">IF(OR(M13="",P13=""),"",M13-P13)</f>
        <v/>
      </c>
    </row>
    <row r="14" customFormat="false" ht="15" hidden="false" customHeight="false" outlineLevel="0" collapsed="false">
      <c r="A14" s="12" t="n">
        <v>9</v>
      </c>
      <c r="B14" s="8" t="s">
        <v>108</v>
      </c>
      <c r="C14" s="26"/>
      <c r="D14" s="26"/>
      <c r="E14" s="26"/>
      <c r="F14" s="26"/>
      <c r="G14" s="27" t="str">
        <f aca="false">IF(OR(C14="",F14=""),"",F14-C14)</f>
        <v/>
      </c>
      <c r="H14" s="26"/>
      <c r="I14" s="26"/>
      <c r="J14" s="26"/>
      <c r="K14" s="26"/>
      <c r="L14" s="27" t="str">
        <f aca="false">IF(OR(H14="",K14=""),"",K14-H14)</f>
        <v/>
      </c>
      <c r="M14" s="26"/>
      <c r="N14" s="26"/>
      <c r="O14" s="26"/>
      <c r="P14" s="26"/>
      <c r="Q14" s="27" t="str">
        <f aca="false">IF(OR(M14="",P14=""),"",M14-P14)</f>
        <v/>
      </c>
    </row>
    <row r="15" customFormat="false" ht="15" hidden="false" customHeight="false" outlineLevel="0" collapsed="false">
      <c r="A15" s="12" t="n">
        <v>10</v>
      </c>
      <c r="B15" s="8" t="s">
        <v>109</v>
      </c>
      <c r="C15" s="26"/>
      <c r="D15" s="26"/>
      <c r="E15" s="26"/>
      <c r="F15" s="26"/>
      <c r="G15" s="27" t="str">
        <f aca="false">IF(OR(C15="",F15=""),"",F15-C15)</f>
        <v/>
      </c>
      <c r="H15" s="26"/>
      <c r="I15" s="26"/>
      <c r="J15" s="26"/>
      <c r="K15" s="26"/>
      <c r="L15" s="27" t="str">
        <f aca="false">IF(OR(H15="",K15=""),"",K15-H15)</f>
        <v/>
      </c>
      <c r="M15" s="26"/>
      <c r="N15" s="26"/>
      <c r="O15" s="26"/>
      <c r="P15" s="26"/>
      <c r="Q15" s="27" t="str">
        <f aca="false">IF(OR(M15="",P15=""),"",M15-P15)</f>
        <v/>
      </c>
    </row>
    <row r="16" customFormat="false" ht="15" hidden="false" customHeight="false" outlineLevel="0" collapsed="false">
      <c r="A16" s="12" t="n">
        <v>11</v>
      </c>
      <c r="B16" s="8" t="s">
        <v>110</v>
      </c>
      <c r="C16" s="26"/>
      <c r="D16" s="26"/>
      <c r="E16" s="26"/>
      <c r="F16" s="26"/>
      <c r="G16" s="27" t="str">
        <f aca="false">IF(OR(C16="",F16=""),"",F16-C16)</f>
        <v/>
      </c>
      <c r="H16" s="26"/>
      <c r="I16" s="26"/>
      <c r="J16" s="26"/>
      <c r="K16" s="26"/>
      <c r="L16" s="27" t="str">
        <f aca="false">IF(OR(H16="",K16=""),"",K16-H16)</f>
        <v/>
      </c>
      <c r="M16" s="26"/>
      <c r="N16" s="26"/>
      <c r="O16" s="26"/>
      <c r="P16" s="26"/>
      <c r="Q16" s="27" t="str">
        <f aca="false">IF(OR(M16="",P16=""),"",M16-P16)</f>
        <v/>
      </c>
    </row>
    <row r="17" customFormat="false" ht="15" hidden="false" customHeight="false" outlineLevel="0" collapsed="false">
      <c r="A17" s="12" t="n">
        <v>12</v>
      </c>
      <c r="B17" s="8" t="s">
        <v>111</v>
      </c>
      <c r="C17" s="26"/>
      <c r="D17" s="26"/>
      <c r="E17" s="26"/>
      <c r="F17" s="26"/>
      <c r="G17" s="27" t="str">
        <f aca="false">IF(OR(C17="",F17=""),"",F17-C17)</f>
        <v/>
      </c>
      <c r="H17" s="26"/>
      <c r="I17" s="26"/>
      <c r="J17" s="26"/>
      <c r="K17" s="26"/>
      <c r="L17" s="27" t="str">
        <f aca="false">IF(OR(H17="",K17=""),"",K17-H17)</f>
        <v/>
      </c>
      <c r="M17" s="26"/>
      <c r="N17" s="26"/>
      <c r="O17" s="26"/>
      <c r="P17" s="26"/>
      <c r="Q17" s="27" t="str">
        <f aca="false">IF(OR(M17="",P17=""),"",M17-P17)</f>
        <v/>
      </c>
    </row>
    <row r="19" customFormat="false" ht="15" hidden="false" customHeight="false" outlineLevel="0" collapsed="false">
      <c r="B19" s="10" t="s">
        <v>125</v>
      </c>
    </row>
  </sheetData>
  <mergeCells count="5">
    <mergeCell ref="A4:A5"/>
    <mergeCell ref="B4:B5"/>
    <mergeCell ref="C4:G4"/>
    <mergeCell ref="H4:L4"/>
    <mergeCell ref="M4:Q4"/>
  </mergeCells>
  <conditionalFormatting sqref="G6:G17">
    <cfRule type="expression" priority="2" aboveAverage="0" equalAverage="0" bottom="0" percent="0" rank="0" text="" dxfId="0">
      <formula>AND(G6&lt;&gt;"",G6&gt;0)</formula>
    </cfRule>
    <cfRule type="expression" priority="3" aboveAverage="0" equalAverage="0" bottom="0" percent="0" rank="0" text="" dxfId="1">
      <formula>AND(G6&lt;&gt;"",G6&lt;=0)</formula>
    </cfRule>
  </conditionalFormatting>
  <conditionalFormatting sqref="L6:L17">
    <cfRule type="expression" priority="4" aboveAverage="0" equalAverage="0" bottom="0" percent="0" rank="0" text="" dxfId="0">
      <formula>AND(L6&lt;&gt;"",L6&gt;0)</formula>
    </cfRule>
    <cfRule type="expression" priority="5" aboveAverage="0" equalAverage="0" bottom="0" percent="0" rank="0" text="" dxfId="1">
      <formula>AND(L6&lt;&gt;"",L6&lt;=0)</formula>
    </cfRule>
  </conditionalFormatting>
  <conditionalFormatting sqref="Q6:Q17">
    <cfRule type="expression" priority="6" aboveAverage="0" equalAverage="0" bottom="0" percent="0" rank="0" text="" dxfId="0">
      <formula>AND(Q6&lt;&gt;"",Q6&gt;0)</formula>
    </cfRule>
    <cfRule type="expression" priority="7" aboveAverage="0" equalAverage="0" bottom="0" percent="0" rank="0" text="" dxfId="1">
      <formula>AND(Q6&lt;&gt;"",Q6&lt;=0)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8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10" t="s">
        <v>132</v>
      </c>
    </row>
    <row r="4" customFormat="false" ht="15" hidden="false" customHeight="false" outlineLevel="0" collapsed="false">
      <c r="A4" s="2" t="s">
        <v>133</v>
      </c>
    </row>
    <row r="5" customFormat="false" ht="15" hidden="false" customHeight="false" outlineLevel="0" collapsed="false">
      <c r="A5" s="6" t="s">
        <v>134</v>
      </c>
      <c r="B5" s="28" t="n">
        <f aca="false">COUNT(Partidos!E5:E30)</f>
        <v>1</v>
      </c>
    </row>
    <row r="6" customFormat="false" ht="15" hidden="false" customHeight="false" outlineLevel="0" collapsed="false">
      <c r="A6" s="6" t="s">
        <v>135</v>
      </c>
      <c r="B6" s="28" t="n">
        <f aca="false">COUNTIF(Partidos!H5:H30,"V")</f>
        <v>1</v>
      </c>
    </row>
    <row r="7" customFormat="false" ht="15" hidden="false" customHeight="false" outlineLevel="0" collapsed="false">
      <c r="A7" s="6" t="s">
        <v>136</v>
      </c>
      <c r="B7" s="28" t="n">
        <f aca="false">COUNTIF(Partidos!H5:H30,"D")</f>
        <v>0</v>
      </c>
    </row>
    <row r="8" customFormat="false" ht="15" hidden="false" customHeight="false" outlineLevel="0" collapsed="false">
      <c r="A8" s="6" t="s">
        <v>137</v>
      </c>
      <c r="B8" s="22" t="n">
        <f aca="false">IFERROR(AVERAGE(Partidos!E5:E30),"")</f>
        <v>54</v>
      </c>
    </row>
    <row r="9" customFormat="false" ht="15" hidden="false" customHeight="false" outlineLevel="0" collapsed="false">
      <c r="A9" s="6" t="s">
        <v>138</v>
      </c>
      <c r="B9" s="22" t="n">
        <f aca="false">IFERROR(AVERAGE(Partidos!F5:F30),"")</f>
        <v>48</v>
      </c>
    </row>
    <row r="10" customFormat="false" ht="15" hidden="false" customHeight="false" outlineLevel="0" collapsed="false">
      <c r="A10" s="6" t="s">
        <v>139</v>
      </c>
      <c r="B10" s="22" t="n">
        <f aca="false">IFERROR(AVERAGE(Partidos!G5:G30),"")</f>
        <v>6</v>
      </c>
    </row>
    <row r="11" customFormat="false" ht="15" hidden="false" customHeight="false" outlineLevel="0" collapsed="false">
      <c r="A11" s="6" t="s">
        <v>140</v>
      </c>
      <c r="B11" s="28" t="n">
        <f aca="false">IFERROR(SUM(Partidos!G5:G30),"")</f>
        <v>6</v>
      </c>
    </row>
    <row r="13" customFormat="false" ht="15" hidden="false" customHeight="false" outlineLevel="0" collapsed="false">
      <c r="A13" s="2" t="s">
        <v>141</v>
      </c>
    </row>
    <row r="14" customFormat="false" ht="15" hidden="false" customHeight="false" outlineLevel="0" collapsed="false">
      <c r="A14" s="5" t="s">
        <v>23</v>
      </c>
      <c r="B14" s="5" t="s">
        <v>24</v>
      </c>
      <c r="C14" s="5" t="s">
        <v>142</v>
      </c>
      <c r="D14" s="5" t="s">
        <v>143</v>
      </c>
    </row>
    <row r="15" customFormat="false" ht="15" hidden="false" customHeight="false" outlineLevel="0" collapsed="false">
      <c r="A15" s="6" t="s">
        <v>26</v>
      </c>
      <c r="B15" s="29" t="n">
        <v>0.7</v>
      </c>
      <c r="C15" s="30" t="n">
        <f aca="false">IFERROR(AVERAGE(Partidos!K5:K30),"")</f>
        <v>0.727272727272727</v>
      </c>
      <c r="D15" s="12" t="str">
        <f aca="false">IF(C15="","",IF(C15&gt;=B15,"CUMPLE","POR DEBAJO"))</f>
        <v>CUMPLE</v>
      </c>
    </row>
    <row r="16" customFormat="false" ht="15" hidden="false" customHeight="false" outlineLevel="0" collapsed="false">
      <c r="A16" s="6" t="s">
        <v>29</v>
      </c>
      <c r="B16" s="31" t="n">
        <v>20</v>
      </c>
      <c r="C16" s="22" t="n">
        <f aca="false">IFERROR(AVERAGE(Partidos!O5:O30),"")</f>
        <v>22</v>
      </c>
      <c r="D16" s="12" t="str">
        <f aca="false">IF(C16="","",IF(C16&gt;=B16,"CUMPLE","POR DEBAJO"))</f>
        <v>CUMPLE</v>
      </c>
    </row>
    <row r="17" customFormat="false" ht="15" hidden="false" customHeight="false" outlineLevel="0" collapsed="false">
      <c r="A17" s="6" t="s">
        <v>32</v>
      </c>
      <c r="B17" s="29" t="n">
        <v>0.3</v>
      </c>
      <c r="C17" s="30" t="n">
        <f aca="false">IFERROR(AVERAGE(Partidos!N5:N30),"")</f>
        <v>0.333333333333333</v>
      </c>
      <c r="D17" s="12" t="str">
        <f aca="false">IF(C17="","",IF(C17&gt;=B17,"CUMPLE","POR DEBAJO"))</f>
        <v>CUMPLE</v>
      </c>
    </row>
    <row r="18" customFormat="false" ht="15" hidden="false" customHeight="false" outlineLevel="0" collapsed="false">
      <c r="A18" s="6" t="s">
        <v>35</v>
      </c>
      <c r="B18" s="31" t="n">
        <v>18</v>
      </c>
      <c r="C18" s="22" t="n">
        <f aca="false">IFERROR(AVERAGE(Partidos!P5:P30),"")</f>
        <v>16</v>
      </c>
      <c r="D18" s="12" t="str">
        <f aca="false">IF(C18="","",IF(C18&lt;=B18,"CUMPLE","POR ENCIMA"))</f>
        <v>CUMPLE</v>
      </c>
    </row>
    <row r="20" customFormat="false" ht="15" hidden="false" customHeight="false" outlineLevel="0" collapsed="false">
      <c r="A20" s="2" t="s">
        <v>144</v>
      </c>
    </row>
    <row r="21" customFormat="false" ht="15" hidden="false" customHeight="false" outlineLevel="0" collapsed="false">
      <c r="A21" s="6" t="s">
        <v>145</v>
      </c>
      <c r="B21" s="22" t="n">
        <f aca="false">IFERROR(MAX(Minutos!AC5:AC16),"")</f>
        <v>0</v>
      </c>
    </row>
    <row r="22" customFormat="false" ht="15" hidden="false" customHeight="false" outlineLevel="0" collapsed="false">
      <c r="A22" s="6" t="s">
        <v>146</v>
      </c>
      <c r="B22" s="22" t="n">
        <f aca="false">IFERROR(MIN(Minutos!AC5:AC16),"")</f>
        <v>0</v>
      </c>
    </row>
    <row r="23" customFormat="false" ht="15" hidden="false" customHeight="false" outlineLevel="0" collapsed="false">
      <c r="A23" s="6" t="s">
        <v>147</v>
      </c>
      <c r="B23" s="22" t="str">
        <f aca="false">IFERROR(AVERAGE(Minutos!AD5:AD16),"")</f>
        <v/>
      </c>
    </row>
    <row r="24" customFormat="false" ht="15" hidden="false" customHeight="false" outlineLevel="0" collapsed="false">
      <c r="A24" s="6" t="s">
        <v>148</v>
      </c>
      <c r="B24" s="22" t="n">
        <f aca="false">SUM(Minutos!AF5:AF16)</f>
        <v>0</v>
      </c>
    </row>
    <row r="27" customFormat="false" ht="15" hidden="false" customHeight="false" outlineLevel="0" collapsed="false">
      <c r="A27" s="10" t="s">
        <v>149</v>
      </c>
    </row>
  </sheetData>
  <conditionalFormatting sqref="D15:D18">
    <cfRule type="expression" priority="2" aboveAverage="0" equalAverage="0" bottom="0" percent="0" rank="0" text="" dxfId="0">
      <formula>D15="CUMPLE"</formula>
    </cfRule>
    <cfRule type="expression" priority="3" aboveAverage="0" equalAverage="0" bottom="0" percent="0" rank="0" text="" dxfId="1">
      <formula>AND(D15&lt;&gt;"",D15&lt;&gt;"CUMPLE")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5" min="5" style="0" width="6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34"/>
    <col collapsed="false" customWidth="true" hidden="false" outlineLevel="0" max="10" min="10" style="0" width="6"/>
    <col collapsed="false" customWidth="true" hidden="false" outlineLevel="0" max="11" min="11" style="0" width="11"/>
    <col collapsed="false" customWidth="true" hidden="false" outlineLevel="0" max="13" min="12" style="0" width="13"/>
    <col collapsed="false" customWidth="true" hidden="false" outlineLevel="0" max="14" min="14" style="0" width="22"/>
  </cols>
  <sheetData>
    <row r="1" customFormat="false" ht="17.35" hidden="false" customHeight="false" outlineLevel="0" collapsed="false">
      <c r="A1" s="1" t="s">
        <v>150</v>
      </c>
    </row>
    <row r="2" customFormat="false" ht="15" hidden="false" customHeight="false" outlineLevel="0" collapsed="false">
      <c r="A2" s="10" t="s">
        <v>151</v>
      </c>
    </row>
    <row r="3" customFormat="false" ht="15" hidden="false" customHeight="false" outlineLevel="0" collapsed="false">
      <c r="A3" s="10" t="s">
        <v>152</v>
      </c>
    </row>
    <row r="5" customFormat="false" ht="25.5" hidden="false" customHeight="true" outlineLevel="0" collapsed="false">
      <c r="A5" s="11" t="s">
        <v>153</v>
      </c>
      <c r="B5" s="11" t="s">
        <v>45</v>
      </c>
      <c r="C5" s="11" t="s">
        <v>154</v>
      </c>
      <c r="D5" s="11" t="s">
        <v>155</v>
      </c>
      <c r="E5" s="11" t="s">
        <v>156</v>
      </c>
      <c r="F5" s="11" t="s">
        <v>157</v>
      </c>
      <c r="G5" s="11" t="s">
        <v>158</v>
      </c>
      <c r="H5" s="11" t="s">
        <v>59</v>
      </c>
      <c r="J5" s="11" t="s">
        <v>153</v>
      </c>
      <c r="K5" s="11" t="s">
        <v>159</v>
      </c>
      <c r="L5" s="11" t="s">
        <v>160</v>
      </c>
      <c r="M5" s="11" t="s">
        <v>161</v>
      </c>
      <c r="N5" s="11" t="s">
        <v>162</v>
      </c>
    </row>
    <row r="6" customFormat="false" ht="15" hidden="false" customHeight="false" outlineLevel="0" collapsed="false">
      <c r="A6" s="7" t="n">
        <v>1</v>
      </c>
      <c r="B6" s="13" t="n">
        <v>46266</v>
      </c>
      <c r="C6" s="7" t="s">
        <v>122</v>
      </c>
      <c r="D6" s="7" t="s">
        <v>163</v>
      </c>
      <c r="E6" s="14" t="n">
        <v>75</v>
      </c>
      <c r="F6" s="14"/>
      <c r="G6" s="32" t="str">
        <f aca="false">IF(F6="","",E6*F6)</f>
        <v/>
      </c>
      <c r="H6" s="8"/>
      <c r="J6" s="7" t="n">
        <v>1</v>
      </c>
      <c r="K6" s="13" t="n">
        <v>46265</v>
      </c>
      <c r="L6" s="28" t="str">
        <f aca="false">IFERROR(IF(SUMIF($A$6:$A$78,J6,$G$6:$G$78)=0,"",SUMIF($A$6:$A$78,J6,$G$6:$G$78)),"")</f>
        <v/>
      </c>
      <c r="M6" s="33"/>
      <c r="N6" s="21" t="str">
        <f aca="false">IF(M6="","",IF(M6&gt;0.2,"SUBIDA &gt;20%",IF(M6&lt;-0.2,"Descarga","")))</f>
        <v/>
      </c>
    </row>
    <row r="7" customFormat="false" ht="15" hidden="false" customHeight="false" outlineLevel="0" collapsed="false">
      <c r="A7" s="7" t="n">
        <v>1</v>
      </c>
      <c r="B7" s="13" t="n">
        <v>46269</v>
      </c>
      <c r="C7" s="7" t="s">
        <v>164</v>
      </c>
      <c r="D7" s="7" t="s">
        <v>163</v>
      </c>
      <c r="E7" s="14" t="n">
        <v>105</v>
      </c>
      <c r="F7" s="14"/>
      <c r="G7" s="32" t="str">
        <f aca="false">IF(F7="","",E7*F7)</f>
        <v/>
      </c>
      <c r="H7" s="8"/>
      <c r="J7" s="7" t="n">
        <v>2</v>
      </c>
      <c r="K7" s="13" t="n">
        <v>46272</v>
      </c>
      <c r="L7" s="28" t="str">
        <f aca="false">IFERROR(IF(SUMIF($A$6:$A$78,J7,$G$6:$G$78)=0,"",SUMIF($A$6:$A$78,J7,$G$6:$G$78)),"")</f>
        <v/>
      </c>
      <c r="M7" s="33" t="str">
        <f aca="false">IFERROR(IF(OR(L7="",L6=""),"",L7/L6-1),"")</f>
        <v/>
      </c>
      <c r="N7" s="21" t="str">
        <f aca="false">IF(M7="","",IF(M7&gt;0.2,"SUBIDA &gt;20%",IF(M7&lt;-0.2,"Descarga","")))</f>
        <v/>
      </c>
    </row>
    <row r="8" customFormat="false" ht="15" hidden="false" customHeight="false" outlineLevel="0" collapsed="false">
      <c r="A8" s="7" t="n">
        <v>2</v>
      </c>
      <c r="B8" s="13" t="n">
        <v>46273</v>
      </c>
      <c r="C8" s="7" t="s">
        <v>122</v>
      </c>
      <c r="D8" s="7" t="s">
        <v>163</v>
      </c>
      <c r="E8" s="14" t="n">
        <v>75</v>
      </c>
      <c r="F8" s="14"/>
      <c r="G8" s="32" t="str">
        <f aca="false">IF(F8="","",E8*F8)</f>
        <v/>
      </c>
      <c r="H8" s="8"/>
      <c r="J8" s="7" t="n">
        <v>3</v>
      </c>
      <c r="K8" s="13" t="n">
        <v>46279</v>
      </c>
      <c r="L8" s="28" t="str">
        <f aca="false">IFERROR(IF(SUMIF($A$6:$A$78,J8,$G$6:$G$78)=0,"",SUMIF($A$6:$A$78,J8,$G$6:$G$78)),"")</f>
        <v/>
      </c>
      <c r="M8" s="33" t="str">
        <f aca="false">IFERROR(IF(OR(L8="",L7=""),"",L8/L7-1),"")</f>
        <v/>
      </c>
      <c r="N8" s="21" t="str">
        <f aca="false">IF(M8="","",IF(M8&gt;0.2,"SUBIDA &gt;20%",IF(M8&lt;-0.2,"Descarga","")))</f>
        <v/>
      </c>
    </row>
    <row r="9" customFormat="false" ht="15" hidden="false" customHeight="false" outlineLevel="0" collapsed="false">
      <c r="A9" s="7" t="n">
        <v>2</v>
      </c>
      <c r="B9" s="13" t="n">
        <v>46276</v>
      </c>
      <c r="C9" s="7" t="s">
        <v>164</v>
      </c>
      <c r="D9" s="7" t="s">
        <v>163</v>
      </c>
      <c r="E9" s="14" t="n">
        <v>105</v>
      </c>
      <c r="F9" s="14"/>
      <c r="G9" s="32" t="str">
        <f aca="false">IF(F9="","",E9*F9)</f>
        <v/>
      </c>
      <c r="H9" s="8"/>
      <c r="J9" s="7" t="n">
        <v>4</v>
      </c>
      <c r="K9" s="13" t="n">
        <v>46286</v>
      </c>
      <c r="L9" s="28" t="str">
        <f aca="false">IFERROR(IF(SUMIF($A$6:$A$78,J9,$G$6:$G$78)=0,"",SUMIF($A$6:$A$78,J9,$G$6:$G$78)),"")</f>
        <v/>
      </c>
      <c r="M9" s="33" t="str">
        <f aca="false">IFERROR(IF(OR(L9="",L8=""),"",L9/L8-1),"")</f>
        <v/>
      </c>
      <c r="N9" s="21" t="str">
        <f aca="false">IF(M9="","",IF(M9&gt;0.2,"SUBIDA &gt;20%",IF(M9&lt;-0.2,"Descarga","")))</f>
        <v/>
      </c>
    </row>
    <row r="10" customFormat="false" ht="15" hidden="false" customHeight="false" outlineLevel="0" collapsed="false">
      <c r="A10" s="7" t="n">
        <v>3</v>
      </c>
      <c r="B10" s="13" t="n">
        <v>46280</v>
      </c>
      <c r="C10" s="7" t="s">
        <v>122</v>
      </c>
      <c r="D10" s="7" t="s">
        <v>163</v>
      </c>
      <c r="E10" s="14" t="n">
        <v>75</v>
      </c>
      <c r="F10" s="14"/>
      <c r="G10" s="32" t="str">
        <f aca="false">IF(F10="","",E10*F10)</f>
        <v/>
      </c>
      <c r="H10" s="8"/>
      <c r="J10" s="7" t="n">
        <v>5</v>
      </c>
      <c r="K10" s="13" t="n">
        <v>46293</v>
      </c>
      <c r="L10" s="28" t="str">
        <f aca="false">IFERROR(IF(SUMIF($A$6:$A$78,J10,$G$6:$G$78)=0,"",SUMIF($A$6:$A$78,J10,$G$6:$G$78)),"")</f>
        <v/>
      </c>
      <c r="M10" s="33" t="str">
        <f aca="false">IFERROR(IF(OR(L10="",L9=""),"",L10/L9-1),"")</f>
        <v/>
      </c>
      <c r="N10" s="21" t="str">
        <f aca="false">IF(M10="","",IF(M10&gt;0.2,"SUBIDA &gt;20%",IF(M10&lt;-0.2,"Descarga","")))</f>
        <v/>
      </c>
    </row>
    <row r="11" customFormat="false" ht="15" hidden="false" customHeight="false" outlineLevel="0" collapsed="false">
      <c r="A11" s="7" t="n">
        <v>3</v>
      </c>
      <c r="B11" s="13" t="n">
        <v>46283</v>
      </c>
      <c r="C11" s="7" t="s">
        <v>164</v>
      </c>
      <c r="D11" s="7" t="s">
        <v>163</v>
      </c>
      <c r="E11" s="14" t="n">
        <v>105</v>
      </c>
      <c r="F11" s="14"/>
      <c r="G11" s="32" t="str">
        <f aca="false">IF(F11="","",E11*F11)</f>
        <v/>
      </c>
      <c r="H11" s="8"/>
      <c r="J11" s="7" t="n">
        <v>6</v>
      </c>
      <c r="K11" s="13" t="n">
        <v>46300</v>
      </c>
      <c r="L11" s="28" t="str">
        <f aca="false">IFERROR(IF(SUMIF($A$6:$A$78,J11,$G$6:$G$78)=0,"",SUMIF($A$6:$A$78,J11,$G$6:$G$78)),"")</f>
        <v/>
      </c>
      <c r="M11" s="33" t="str">
        <f aca="false">IFERROR(IF(OR(L11="",L10=""),"",L11/L10-1),"")</f>
        <v/>
      </c>
      <c r="N11" s="21" t="str">
        <f aca="false">IF(M11="","",IF(M11&gt;0.2,"SUBIDA &gt;20%",IF(M11&lt;-0.2,"Descarga","")))</f>
        <v/>
      </c>
    </row>
    <row r="12" customFormat="false" ht="15" hidden="false" customHeight="false" outlineLevel="0" collapsed="false">
      <c r="A12" s="7" t="n">
        <v>4</v>
      </c>
      <c r="B12" s="13" t="n">
        <v>46287</v>
      </c>
      <c r="C12" s="7" t="s">
        <v>122</v>
      </c>
      <c r="D12" s="7" t="s">
        <v>163</v>
      </c>
      <c r="E12" s="14" t="n">
        <v>75</v>
      </c>
      <c r="F12" s="14"/>
      <c r="G12" s="32" t="str">
        <f aca="false">IF(F12="","",E12*F12)</f>
        <v/>
      </c>
      <c r="H12" s="8"/>
      <c r="J12" s="7" t="n">
        <v>7</v>
      </c>
      <c r="K12" s="13" t="n">
        <v>46307</v>
      </c>
      <c r="L12" s="28" t="str">
        <f aca="false">IFERROR(IF(SUMIF($A$6:$A$78,J12,$G$6:$G$78)=0,"",SUMIF($A$6:$A$78,J12,$G$6:$G$78)),"")</f>
        <v/>
      </c>
      <c r="M12" s="33" t="str">
        <f aca="false">IFERROR(IF(OR(L12="",L11=""),"",L12/L11-1),"")</f>
        <v/>
      </c>
      <c r="N12" s="21" t="str">
        <f aca="false">IF(M12="","",IF(M12&gt;0.2,"SUBIDA &gt;20%",IF(M12&lt;-0.2,"Descarga","")))</f>
        <v/>
      </c>
    </row>
    <row r="13" customFormat="false" ht="15" hidden="false" customHeight="false" outlineLevel="0" collapsed="false">
      <c r="A13" s="7" t="n">
        <v>4</v>
      </c>
      <c r="B13" s="13" t="n">
        <v>46290</v>
      </c>
      <c r="C13" s="7" t="s">
        <v>164</v>
      </c>
      <c r="D13" s="7" t="s">
        <v>163</v>
      </c>
      <c r="E13" s="14" t="n">
        <v>105</v>
      </c>
      <c r="F13" s="14"/>
      <c r="G13" s="32" t="str">
        <f aca="false">IF(F13="","",E13*F13)</f>
        <v/>
      </c>
      <c r="H13" s="8"/>
      <c r="J13" s="7" t="n">
        <v>8</v>
      </c>
      <c r="K13" s="13" t="n">
        <v>46314</v>
      </c>
      <c r="L13" s="28" t="str">
        <f aca="false">IFERROR(IF(SUMIF($A$6:$A$78,J13,$G$6:$G$78)=0,"",SUMIF($A$6:$A$78,J13,$G$6:$G$78)),"")</f>
        <v/>
      </c>
      <c r="M13" s="33" t="str">
        <f aca="false">IFERROR(IF(OR(L13="",L12=""),"",L13/L12-1),"")</f>
        <v/>
      </c>
      <c r="N13" s="21" t="str">
        <f aca="false">IF(M13="","",IF(M13&gt;0.2,"SUBIDA &gt;20%",IF(M13&lt;-0.2,"Descarga","")))</f>
        <v/>
      </c>
    </row>
    <row r="14" customFormat="false" ht="15" hidden="false" customHeight="false" outlineLevel="0" collapsed="false">
      <c r="A14" s="7" t="n">
        <v>5</v>
      </c>
      <c r="B14" s="13" t="n">
        <v>46294</v>
      </c>
      <c r="C14" s="7" t="s">
        <v>122</v>
      </c>
      <c r="D14" s="7" t="s">
        <v>163</v>
      </c>
      <c r="E14" s="14" t="n">
        <v>75</v>
      </c>
      <c r="F14" s="14"/>
      <c r="G14" s="32" t="str">
        <f aca="false">IF(F14="","",E14*F14)</f>
        <v/>
      </c>
      <c r="H14" s="8"/>
      <c r="J14" s="7" t="n">
        <v>9</v>
      </c>
      <c r="K14" s="13" t="n">
        <v>46321</v>
      </c>
      <c r="L14" s="28" t="str">
        <f aca="false">IFERROR(IF(SUMIF($A$6:$A$78,J14,$G$6:$G$78)=0,"",SUMIF($A$6:$A$78,J14,$G$6:$G$78)),"")</f>
        <v/>
      </c>
      <c r="M14" s="33" t="str">
        <f aca="false">IFERROR(IF(OR(L14="",L13=""),"",L14/L13-1),"")</f>
        <v/>
      </c>
      <c r="N14" s="21" t="str">
        <f aca="false">IF(M14="","",IF(M14&gt;0.2,"SUBIDA &gt;20%",IF(M14&lt;-0.2,"Descarga","")))</f>
        <v/>
      </c>
    </row>
    <row r="15" customFormat="false" ht="15" hidden="false" customHeight="false" outlineLevel="0" collapsed="false">
      <c r="A15" s="7" t="n">
        <v>5</v>
      </c>
      <c r="B15" s="13" t="n">
        <v>46297</v>
      </c>
      <c r="C15" s="7" t="s">
        <v>164</v>
      </c>
      <c r="D15" s="7" t="s">
        <v>163</v>
      </c>
      <c r="E15" s="14" t="n">
        <v>105</v>
      </c>
      <c r="F15" s="14"/>
      <c r="G15" s="32" t="str">
        <f aca="false">IF(F15="","",E15*F15)</f>
        <v/>
      </c>
      <c r="H15" s="8"/>
      <c r="J15" s="7" t="n">
        <v>10</v>
      </c>
      <c r="K15" s="13" t="n">
        <v>46328</v>
      </c>
      <c r="L15" s="28" t="str">
        <f aca="false">IFERROR(IF(SUMIF($A$6:$A$78,J15,$G$6:$G$78)=0,"",SUMIF($A$6:$A$78,J15,$G$6:$G$78)),"")</f>
        <v/>
      </c>
      <c r="M15" s="33" t="str">
        <f aca="false">IFERROR(IF(OR(L15="",L14=""),"",L15/L14-1),"")</f>
        <v/>
      </c>
      <c r="N15" s="21" t="str">
        <f aca="false">IF(M15="","",IF(M15&gt;0.2,"SUBIDA &gt;20%",IF(M15&lt;-0.2,"Descarga","")))</f>
        <v/>
      </c>
    </row>
    <row r="16" customFormat="false" ht="15" hidden="false" customHeight="false" outlineLevel="0" collapsed="false">
      <c r="A16" s="7" t="n">
        <v>6</v>
      </c>
      <c r="B16" s="13" t="n">
        <v>46301</v>
      </c>
      <c r="C16" s="7" t="s">
        <v>122</v>
      </c>
      <c r="D16" s="7" t="s">
        <v>165</v>
      </c>
      <c r="E16" s="14" t="n">
        <v>75</v>
      </c>
      <c r="F16" s="14"/>
      <c r="G16" s="32" t="str">
        <f aca="false">IF(F16="","",E16*F16)</f>
        <v/>
      </c>
      <c r="H16" s="8"/>
      <c r="J16" s="7" t="n">
        <v>11</v>
      </c>
      <c r="K16" s="13" t="n">
        <v>46335</v>
      </c>
      <c r="L16" s="28" t="str">
        <f aca="false">IFERROR(IF(SUMIF($A$6:$A$78,J16,$G$6:$G$78)=0,"",SUMIF($A$6:$A$78,J16,$G$6:$G$78)),"")</f>
        <v/>
      </c>
      <c r="M16" s="33" t="str">
        <f aca="false">IFERROR(IF(OR(L16="",L15=""),"",L16/L15-1),"")</f>
        <v/>
      </c>
      <c r="N16" s="21" t="str">
        <f aca="false">IF(M16="","",IF(M16&gt;0.2,"SUBIDA &gt;20%",IF(M16&lt;-0.2,"Descarga","")))</f>
        <v/>
      </c>
    </row>
    <row r="17" customFormat="false" ht="15" hidden="false" customHeight="false" outlineLevel="0" collapsed="false">
      <c r="A17" s="7" t="n">
        <v>6</v>
      </c>
      <c r="B17" s="13" t="n">
        <v>46304</v>
      </c>
      <c r="C17" s="7" t="s">
        <v>164</v>
      </c>
      <c r="D17" s="7" t="s">
        <v>165</v>
      </c>
      <c r="E17" s="14" t="n">
        <v>105</v>
      </c>
      <c r="F17" s="14"/>
      <c r="G17" s="32" t="str">
        <f aca="false">IF(F17="","",E17*F17)</f>
        <v/>
      </c>
      <c r="H17" s="8"/>
      <c r="J17" s="7" t="n">
        <v>12</v>
      </c>
      <c r="K17" s="13" t="n">
        <v>46342</v>
      </c>
      <c r="L17" s="28" t="str">
        <f aca="false">IFERROR(IF(SUMIF($A$6:$A$78,J17,$G$6:$G$78)=0,"",SUMIF($A$6:$A$78,J17,$G$6:$G$78)),"")</f>
        <v/>
      </c>
      <c r="M17" s="33" t="str">
        <f aca="false">IFERROR(IF(OR(L17="",L16=""),"",L17/L16-1),"")</f>
        <v/>
      </c>
      <c r="N17" s="21" t="str">
        <f aca="false">IF(M17="","",IF(M17&gt;0.2,"SUBIDA &gt;20%",IF(M17&lt;-0.2,"Descarga","")))</f>
        <v/>
      </c>
    </row>
    <row r="18" customFormat="false" ht="15" hidden="false" customHeight="false" outlineLevel="0" collapsed="false">
      <c r="A18" s="7" t="n">
        <v>7</v>
      </c>
      <c r="B18" s="13" t="n">
        <v>46308</v>
      </c>
      <c r="C18" s="7" t="s">
        <v>122</v>
      </c>
      <c r="D18" s="7" t="s">
        <v>165</v>
      </c>
      <c r="E18" s="14" t="n">
        <v>75</v>
      </c>
      <c r="F18" s="14"/>
      <c r="G18" s="32" t="str">
        <f aca="false">IF(F18="","",E18*F18)</f>
        <v/>
      </c>
      <c r="H18" s="8"/>
      <c r="J18" s="7" t="n">
        <v>13</v>
      </c>
      <c r="K18" s="13" t="n">
        <v>46349</v>
      </c>
      <c r="L18" s="28" t="str">
        <f aca="false">IFERROR(IF(SUMIF($A$6:$A$78,J18,$G$6:$G$78)=0,"",SUMIF($A$6:$A$78,J18,$G$6:$G$78)),"")</f>
        <v/>
      </c>
      <c r="M18" s="33" t="str">
        <f aca="false">IFERROR(IF(OR(L18="",L17=""),"",L18/L17-1),"")</f>
        <v/>
      </c>
      <c r="N18" s="21" t="str">
        <f aca="false">IF(M18="","",IF(M18&gt;0.2,"SUBIDA &gt;20%",IF(M18&lt;-0.2,"Descarga","")))</f>
        <v/>
      </c>
    </row>
    <row r="19" customFormat="false" ht="15" hidden="false" customHeight="false" outlineLevel="0" collapsed="false">
      <c r="A19" s="7" t="n">
        <v>7</v>
      </c>
      <c r="B19" s="13" t="n">
        <v>46311</v>
      </c>
      <c r="C19" s="7" t="s">
        <v>164</v>
      </c>
      <c r="D19" s="7" t="s">
        <v>165</v>
      </c>
      <c r="E19" s="14" t="n">
        <v>105</v>
      </c>
      <c r="F19" s="14"/>
      <c r="G19" s="32" t="str">
        <f aca="false">IF(F19="","",E19*F19)</f>
        <v/>
      </c>
      <c r="H19" s="8"/>
      <c r="J19" s="7" t="n">
        <v>14</v>
      </c>
      <c r="K19" s="13" t="n">
        <v>46356</v>
      </c>
      <c r="L19" s="28" t="str">
        <f aca="false">IFERROR(IF(SUMIF($A$6:$A$78,J19,$G$6:$G$78)=0,"",SUMIF($A$6:$A$78,J19,$G$6:$G$78)),"")</f>
        <v/>
      </c>
      <c r="M19" s="33" t="str">
        <f aca="false">IFERROR(IF(OR(L19="",L18=""),"",L19/L18-1),"")</f>
        <v/>
      </c>
      <c r="N19" s="21" t="str">
        <f aca="false">IF(M19="","",IF(M19&gt;0.2,"SUBIDA &gt;20%",IF(M19&lt;-0.2,"Descarga","")))</f>
        <v/>
      </c>
    </row>
    <row r="20" customFormat="false" ht="15" hidden="false" customHeight="false" outlineLevel="0" collapsed="false">
      <c r="A20" s="7" t="n">
        <v>8</v>
      </c>
      <c r="B20" s="13" t="n">
        <v>46315</v>
      </c>
      <c r="C20" s="7" t="s">
        <v>122</v>
      </c>
      <c r="D20" s="7" t="s">
        <v>165</v>
      </c>
      <c r="E20" s="14" t="n">
        <v>75</v>
      </c>
      <c r="F20" s="14"/>
      <c r="G20" s="32" t="str">
        <f aca="false">IF(F20="","",E20*F20)</f>
        <v/>
      </c>
      <c r="H20" s="8"/>
      <c r="J20" s="7" t="n">
        <v>15</v>
      </c>
      <c r="K20" s="13" t="n">
        <v>46363</v>
      </c>
      <c r="L20" s="28" t="str">
        <f aca="false">IFERROR(IF(SUMIF($A$6:$A$78,J20,$G$6:$G$78)=0,"",SUMIF($A$6:$A$78,J20,$G$6:$G$78)),"")</f>
        <v/>
      </c>
      <c r="M20" s="33" t="str">
        <f aca="false">IFERROR(IF(OR(L20="",L19=""),"",L20/L19-1),"")</f>
        <v/>
      </c>
      <c r="N20" s="21" t="str">
        <f aca="false">IF(M20="","",IF(M20&gt;0.2,"SUBIDA &gt;20%",IF(M20&lt;-0.2,"Descarga","")))</f>
        <v/>
      </c>
    </row>
    <row r="21" customFormat="false" ht="15" hidden="false" customHeight="false" outlineLevel="0" collapsed="false">
      <c r="A21" s="7" t="n">
        <v>8</v>
      </c>
      <c r="B21" s="13" t="n">
        <v>46318</v>
      </c>
      <c r="C21" s="7" t="s">
        <v>164</v>
      </c>
      <c r="D21" s="7" t="s">
        <v>165</v>
      </c>
      <c r="E21" s="14" t="n">
        <v>105</v>
      </c>
      <c r="F21" s="14"/>
      <c r="G21" s="32" t="str">
        <f aca="false">IF(F21="","",E21*F21)</f>
        <v/>
      </c>
      <c r="H21" s="8"/>
      <c r="J21" s="7" t="n">
        <v>16</v>
      </c>
      <c r="K21" s="13" t="n">
        <v>46370</v>
      </c>
      <c r="L21" s="28" t="str">
        <f aca="false">IFERROR(IF(SUMIF($A$6:$A$78,J21,$G$6:$G$78)=0,"",SUMIF($A$6:$A$78,J21,$G$6:$G$78)),"")</f>
        <v/>
      </c>
      <c r="M21" s="33" t="str">
        <f aca="false">IFERROR(IF(OR(L21="",L20=""),"",L21/L20-1),"")</f>
        <v/>
      </c>
      <c r="N21" s="21" t="str">
        <f aca="false">IF(M21="","",IF(M21&gt;0.2,"SUBIDA &gt;20%",IF(M21&lt;-0.2,"Descarga","")))</f>
        <v/>
      </c>
    </row>
    <row r="22" customFormat="false" ht="15" hidden="false" customHeight="false" outlineLevel="0" collapsed="false">
      <c r="A22" s="7" t="n">
        <v>9</v>
      </c>
      <c r="B22" s="13" t="n">
        <v>46322</v>
      </c>
      <c r="C22" s="7" t="s">
        <v>122</v>
      </c>
      <c r="D22" s="7" t="s">
        <v>165</v>
      </c>
      <c r="E22" s="14" t="n">
        <v>75</v>
      </c>
      <c r="F22" s="14"/>
      <c r="G22" s="32" t="str">
        <f aca="false">IF(F22="","",E22*F22)</f>
        <v/>
      </c>
      <c r="H22" s="8"/>
      <c r="J22" s="7" t="n">
        <v>17</v>
      </c>
      <c r="K22" s="13" t="n">
        <v>46384</v>
      </c>
      <c r="L22" s="28" t="str">
        <f aca="false">IFERROR(IF(SUMIF($A$6:$A$78,J22,$G$6:$G$78)=0,"",SUMIF($A$6:$A$78,J22,$G$6:$G$78)),"")</f>
        <v/>
      </c>
      <c r="M22" s="33" t="str">
        <f aca="false">IFERROR(IF(OR(L22="",L21=""),"",L22/L21-1),"")</f>
        <v/>
      </c>
      <c r="N22" s="21" t="str">
        <f aca="false">IF(M22="","",IF(M22&gt;0.2,"SUBIDA &gt;20%",IF(M22&lt;-0.2,"Descarga","")))</f>
        <v/>
      </c>
    </row>
    <row r="23" customFormat="false" ht="15" hidden="false" customHeight="false" outlineLevel="0" collapsed="false">
      <c r="A23" s="7" t="n">
        <v>9</v>
      </c>
      <c r="B23" s="13" t="n">
        <v>46325</v>
      </c>
      <c r="C23" s="7" t="s">
        <v>164</v>
      </c>
      <c r="D23" s="7" t="s">
        <v>165</v>
      </c>
      <c r="E23" s="14" t="n">
        <v>105</v>
      </c>
      <c r="F23" s="14"/>
      <c r="G23" s="32" t="str">
        <f aca="false">IF(F23="","",E23*F23)</f>
        <v/>
      </c>
      <c r="H23" s="8"/>
      <c r="J23" s="7" t="n">
        <v>18</v>
      </c>
      <c r="K23" s="13" t="n">
        <v>46391</v>
      </c>
      <c r="L23" s="28" t="str">
        <f aca="false">IFERROR(IF(SUMIF($A$6:$A$78,J23,$G$6:$G$78)=0,"",SUMIF($A$6:$A$78,J23,$G$6:$G$78)),"")</f>
        <v/>
      </c>
      <c r="M23" s="33" t="str">
        <f aca="false">IFERROR(IF(OR(L23="",L22=""),"",L23/L22-1),"")</f>
        <v/>
      </c>
      <c r="N23" s="21" t="str">
        <f aca="false">IF(M23="","",IF(M23&gt;0.2,"SUBIDA &gt;20%",IF(M23&lt;-0.2,"Descarga","")))</f>
        <v/>
      </c>
    </row>
    <row r="24" customFormat="false" ht="15" hidden="false" customHeight="false" outlineLevel="0" collapsed="false">
      <c r="A24" s="7" t="n">
        <v>10</v>
      </c>
      <c r="B24" s="13" t="n">
        <v>46329</v>
      </c>
      <c r="C24" s="7" t="s">
        <v>122</v>
      </c>
      <c r="D24" s="7" t="s">
        <v>165</v>
      </c>
      <c r="E24" s="14" t="n">
        <v>75</v>
      </c>
      <c r="F24" s="14"/>
      <c r="G24" s="32" t="str">
        <f aca="false">IF(F24="","",E24*F24)</f>
        <v/>
      </c>
      <c r="H24" s="8"/>
      <c r="J24" s="7" t="n">
        <v>19</v>
      </c>
      <c r="K24" s="13" t="n">
        <v>46398</v>
      </c>
      <c r="L24" s="28" t="str">
        <f aca="false">IFERROR(IF(SUMIF($A$6:$A$78,J24,$G$6:$G$78)=0,"",SUMIF($A$6:$A$78,J24,$G$6:$G$78)),"")</f>
        <v/>
      </c>
      <c r="M24" s="33" t="str">
        <f aca="false">IFERROR(IF(OR(L24="",L23=""),"",L24/L23-1),"")</f>
        <v/>
      </c>
      <c r="N24" s="21" t="str">
        <f aca="false">IF(M24="","",IF(M24&gt;0.2,"SUBIDA &gt;20%",IF(M24&lt;-0.2,"Descarga","")))</f>
        <v/>
      </c>
    </row>
    <row r="25" customFormat="false" ht="15" hidden="false" customHeight="false" outlineLevel="0" collapsed="false">
      <c r="A25" s="7" t="n">
        <v>10</v>
      </c>
      <c r="B25" s="13" t="n">
        <v>46332</v>
      </c>
      <c r="C25" s="7" t="s">
        <v>164</v>
      </c>
      <c r="D25" s="7" t="s">
        <v>165</v>
      </c>
      <c r="E25" s="14" t="n">
        <v>105</v>
      </c>
      <c r="F25" s="14"/>
      <c r="G25" s="32" t="str">
        <f aca="false">IF(F25="","",E25*F25)</f>
        <v/>
      </c>
      <c r="H25" s="8"/>
      <c r="J25" s="7" t="n">
        <v>20</v>
      </c>
      <c r="K25" s="13" t="n">
        <v>46405</v>
      </c>
      <c r="L25" s="28" t="str">
        <f aca="false">IFERROR(IF(SUMIF($A$6:$A$78,J25,$G$6:$G$78)=0,"",SUMIF($A$6:$A$78,J25,$G$6:$G$78)),"")</f>
        <v/>
      </c>
      <c r="M25" s="33" t="str">
        <f aca="false">IFERROR(IF(OR(L25="",L24=""),"",L25/L24-1),"")</f>
        <v/>
      </c>
      <c r="N25" s="21" t="str">
        <f aca="false">IF(M25="","",IF(M25&gt;0.2,"SUBIDA &gt;20%",IF(M25&lt;-0.2,"Descarga","")))</f>
        <v/>
      </c>
    </row>
    <row r="26" customFormat="false" ht="15" hidden="false" customHeight="false" outlineLevel="0" collapsed="false">
      <c r="A26" s="7" t="n">
        <v>11</v>
      </c>
      <c r="B26" s="13" t="n">
        <v>46336</v>
      </c>
      <c r="C26" s="7" t="s">
        <v>122</v>
      </c>
      <c r="D26" s="7" t="s">
        <v>165</v>
      </c>
      <c r="E26" s="14" t="n">
        <v>75</v>
      </c>
      <c r="F26" s="14"/>
      <c r="G26" s="32" t="str">
        <f aca="false">IF(F26="","",E26*F26)</f>
        <v/>
      </c>
      <c r="H26" s="8"/>
      <c r="J26" s="7" t="n">
        <v>21</v>
      </c>
      <c r="K26" s="13" t="n">
        <v>46412</v>
      </c>
      <c r="L26" s="28" t="str">
        <f aca="false">IFERROR(IF(SUMIF($A$6:$A$78,J26,$G$6:$G$78)=0,"",SUMIF($A$6:$A$78,J26,$G$6:$G$78)),"")</f>
        <v/>
      </c>
      <c r="M26" s="33" t="str">
        <f aca="false">IFERROR(IF(OR(L26="",L25=""),"",L26/L25-1),"")</f>
        <v/>
      </c>
      <c r="N26" s="21" t="str">
        <f aca="false">IF(M26="","",IF(M26&gt;0.2,"SUBIDA &gt;20%",IF(M26&lt;-0.2,"Descarga","")))</f>
        <v/>
      </c>
    </row>
    <row r="27" customFormat="false" ht="15" hidden="false" customHeight="false" outlineLevel="0" collapsed="false">
      <c r="A27" s="7" t="n">
        <v>11</v>
      </c>
      <c r="B27" s="13" t="n">
        <v>46339</v>
      </c>
      <c r="C27" s="7" t="s">
        <v>164</v>
      </c>
      <c r="D27" s="7" t="s">
        <v>165</v>
      </c>
      <c r="E27" s="14" t="n">
        <v>105</v>
      </c>
      <c r="F27" s="14"/>
      <c r="G27" s="32" t="str">
        <f aca="false">IF(F27="","",E27*F27)</f>
        <v/>
      </c>
      <c r="H27" s="8"/>
      <c r="J27" s="7" t="n">
        <v>22</v>
      </c>
      <c r="K27" s="13" t="n">
        <v>46419</v>
      </c>
      <c r="L27" s="28" t="str">
        <f aca="false">IFERROR(IF(SUMIF($A$6:$A$78,J27,$G$6:$G$78)=0,"",SUMIF($A$6:$A$78,J27,$G$6:$G$78)),"")</f>
        <v/>
      </c>
      <c r="M27" s="33" t="str">
        <f aca="false">IFERROR(IF(OR(L27="",L26=""),"",L27/L26-1),"")</f>
        <v/>
      </c>
      <c r="N27" s="21" t="str">
        <f aca="false">IF(M27="","",IF(M27&gt;0.2,"SUBIDA &gt;20%",IF(M27&lt;-0.2,"Descarga","")))</f>
        <v/>
      </c>
    </row>
    <row r="28" customFormat="false" ht="15" hidden="false" customHeight="false" outlineLevel="0" collapsed="false">
      <c r="A28" s="7" t="n">
        <v>12</v>
      </c>
      <c r="B28" s="13" t="n">
        <v>46343</v>
      </c>
      <c r="C28" s="7" t="s">
        <v>122</v>
      </c>
      <c r="D28" s="7" t="s">
        <v>165</v>
      </c>
      <c r="E28" s="14" t="n">
        <v>75</v>
      </c>
      <c r="F28" s="14"/>
      <c r="G28" s="32" t="str">
        <f aca="false">IF(F28="","",E28*F28)</f>
        <v/>
      </c>
      <c r="H28" s="8"/>
      <c r="J28" s="7" t="n">
        <v>23</v>
      </c>
      <c r="K28" s="13" t="n">
        <v>46426</v>
      </c>
      <c r="L28" s="28" t="str">
        <f aca="false">IFERROR(IF(SUMIF($A$6:$A$78,J28,$G$6:$G$78)=0,"",SUMIF($A$6:$A$78,J28,$G$6:$G$78)),"")</f>
        <v/>
      </c>
      <c r="M28" s="33" t="str">
        <f aca="false">IFERROR(IF(OR(L28="",L27=""),"",L28/L27-1),"")</f>
        <v/>
      </c>
      <c r="N28" s="21" t="str">
        <f aca="false">IF(M28="","",IF(M28&gt;0.2,"SUBIDA &gt;20%",IF(M28&lt;-0.2,"Descarga","")))</f>
        <v/>
      </c>
    </row>
    <row r="29" customFormat="false" ht="15" hidden="false" customHeight="false" outlineLevel="0" collapsed="false">
      <c r="A29" s="7" t="n">
        <v>12</v>
      </c>
      <c r="B29" s="13" t="n">
        <v>46346</v>
      </c>
      <c r="C29" s="7" t="s">
        <v>164</v>
      </c>
      <c r="D29" s="7" t="s">
        <v>165</v>
      </c>
      <c r="E29" s="14" t="n">
        <v>105</v>
      </c>
      <c r="F29" s="14"/>
      <c r="G29" s="32" t="str">
        <f aca="false">IF(F29="","",E29*F29)</f>
        <v/>
      </c>
      <c r="H29" s="8"/>
      <c r="J29" s="7" t="n">
        <v>24</v>
      </c>
      <c r="K29" s="13" t="n">
        <v>46433</v>
      </c>
      <c r="L29" s="28" t="str">
        <f aca="false">IFERROR(IF(SUMIF($A$6:$A$78,J29,$G$6:$G$78)=0,"",SUMIF($A$6:$A$78,J29,$G$6:$G$78)),"")</f>
        <v/>
      </c>
      <c r="M29" s="33" t="str">
        <f aca="false">IFERROR(IF(OR(L29="",L28=""),"",L29/L28-1),"")</f>
        <v/>
      </c>
      <c r="N29" s="21" t="str">
        <f aca="false">IF(M29="","",IF(M29&gt;0.2,"SUBIDA &gt;20%",IF(M29&lt;-0.2,"Descarga","")))</f>
        <v/>
      </c>
    </row>
    <row r="30" customFormat="false" ht="15" hidden="false" customHeight="false" outlineLevel="0" collapsed="false">
      <c r="A30" s="7" t="n">
        <v>13</v>
      </c>
      <c r="B30" s="13" t="n">
        <v>46350</v>
      </c>
      <c r="C30" s="7" t="s">
        <v>122</v>
      </c>
      <c r="D30" s="7" t="s">
        <v>165</v>
      </c>
      <c r="E30" s="14" t="n">
        <v>75</v>
      </c>
      <c r="F30" s="14"/>
      <c r="G30" s="32" t="str">
        <f aca="false">IF(F30="","",E30*F30)</f>
        <v/>
      </c>
      <c r="H30" s="8"/>
      <c r="J30" s="7" t="n">
        <v>25</v>
      </c>
      <c r="K30" s="13" t="n">
        <v>46440</v>
      </c>
      <c r="L30" s="28" t="str">
        <f aca="false">IFERROR(IF(SUMIF($A$6:$A$78,J30,$G$6:$G$78)=0,"",SUMIF($A$6:$A$78,J30,$G$6:$G$78)),"")</f>
        <v/>
      </c>
      <c r="M30" s="33" t="str">
        <f aca="false">IFERROR(IF(OR(L30="",L29=""),"",L30/L29-1),"")</f>
        <v/>
      </c>
      <c r="N30" s="21" t="str">
        <f aca="false">IF(M30="","",IF(M30&gt;0.2,"SUBIDA &gt;20%",IF(M30&lt;-0.2,"Descarga","")))</f>
        <v/>
      </c>
    </row>
    <row r="31" customFormat="false" ht="15" hidden="false" customHeight="false" outlineLevel="0" collapsed="false">
      <c r="A31" s="7" t="n">
        <v>13</v>
      </c>
      <c r="B31" s="13" t="n">
        <v>46353</v>
      </c>
      <c r="C31" s="7" t="s">
        <v>164</v>
      </c>
      <c r="D31" s="7" t="s">
        <v>165</v>
      </c>
      <c r="E31" s="14" t="n">
        <v>105</v>
      </c>
      <c r="F31" s="14"/>
      <c r="G31" s="32" t="str">
        <f aca="false">IF(F31="","",E31*F31)</f>
        <v/>
      </c>
      <c r="H31" s="8"/>
      <c r="J31" s="7" t="n">
        <v>26</v>
      </c>
      <c r="K31" s="13" t="n">
        <v>46447</v>
      </c>
      <c r="L31" s="28" t="str">
        <f aca="false">IFERROR(IF(SUMIF($A$6:$A$78,J31,$G$6:$G$78)=0,"",SUMIF($A$6:$A$78,J31,$G$6:$G$78)),"")</f>
        <v/>
      </c>
      <c r="M31" s="33" t="str">
        <f aca="false">IFERROR(IF(OR(L31="",L30=""),"",L31/L30-1),"")</f>
        <v/>
      </c>
      <c r="N31" s="21" t="str">
        <f aca="false">IF(M31="","",IF(M31&gt;0.2,"SUBIDA &gt;20%",IF(M31&lt;-0.2,"Descarga","")))</f>
        <v/>
      </c>
    </row>
    <row r="32" customFormat="false" ht="15" hidden="false" customHeight="false" outlineLevel="0" collapsed="false">
      <c r="A32" s="7" t="n">
        <v>14</v>
      </c>
      <c r="B32" s="13" t="n">
        <v>46357</v>
      </c>
      <c r="C32" s="7" t="s">
        <v>122</v>
      </c>
      <c r="D32" s="7" t="s">
        <v>165</v>
      </c>
      <c r="E32" s="14" t="n">
        <v>75</v>
      </c>
      <c r="F32" s="14"/>
      <c r="G32" s="32" t="str">
        <f aca="false">IF(F32="","",E32*F32)</f>
        <v/>
      </c>
      <c r="H32" s="8"/>
      <c r="J32" s="7" t="n">
        <v>27</v>
      </c>
      <c r="K32" s="13" t="n">
        <v>46454</v>
      </c>
      <c r="L32" s="28" t="str">
        <f aca="false">IFERROR(IF(SUMIF($A$6:$A$78,J32,$G$6:$G$78)=0,"",SUMIF($A$6:$A$78,J32,$G$6:$G$78)),"")</f>
        <v/>
      </c>
      <c r="M32" s="33" t="str">
        <f aca="false">IFERROR(IF(OR(L32="",L31=""),"",L32/L31-1),"")</f>
        <v/>
      </c>
      <c r="N32" s="21" t="str">
        <f aca="false">IF(M32="","",IF(M32&gt;0.2,"SUBIDA &gt;20%",IF(M32&lt;-0.2,"Descarga","")))</f>
        <v/>
      </c>
    </row>
    <row r="33" customFormat="false" ht="15" hidden="false" customHeight="false" outlineLevel="0" collapsed="false">
      <c r="A33" s="7" t="n">
        <v>14</v>
      </c>
      <c r="B33" s="13" t="n">
        <v>46360</v>
      </c>
      <c r="C33" s="7" t="s">
        <v>164</v>
      </c>
      <c r="D33" s="7" t="s">
        <v>165</v>
      </c>
      <c r="E33" s="14" t="n">
        <v>105</v>
      </c>
      <c r="F33" s="14"/>
      <c r="G33" s="32" t="str">
        <f aca="false">IF(F33="","",E33*F33)</f>
        <v/>
      </c>
      <c r="H33" s="8"/>
      <c r="J33" s="7" t="n">
        <v>28</v>
      </c>
      <c r="K33" s="13" t="n">
        <v>46461</v>
      </c>
      <c r="L33" s="28" t="str">
        <f aca="false">IFERROR(IF(SUMIF($A$6:$A$78,J33,$G$6:$G$78)=0,"",SUMIF($A$6:$A$78,J33,$G$6:$G$78)),"")</f>
        <v/>
      </c>
      <c r="M33" s="33" t="str">
        <f aca="false">IFERROR(IF(OR(L33="",L32=""),"",L33/L32-1),"")</f>
        <v/>
      </c>
      <c r="N33" s="21" t="str">
        <f aca="false">IF(M33="","",IF(M33&gt;0.2,"SUBIDA &gt;20%",IF(M33&lt;-0.2,"Descarga","")))</f>
        <v/>
      </c>
    </row>
    <row r="34" customFormat="false" ht="15" hidden="false" customHeight="false" outlineLevel="0" collapsed="false">
      <c r="A34" s="7" t="n">
        <v>15</v>
      </c>
      <c r="B34" s="13" t="n">
        <v>46367</v>
      </c>
      <c r="C34" s="7" t="s">
        <v>164</v>
      </c>
      <c r="D34" s="7" t="s">
        <v>165</v>
      </c>
      <c r="E34" s="14" t="n">
        <v>105</v>
      </c>
      <c r="F34" s="14"/>
      <c r="G34" s="32" t="str">
        <f aca="false">IF(F34="","",E34*F34)</f>
        <v/>
      </c>
      <c r="H34" s="8"/>
      <c r="J34" s="7" t="n">
        <v>29</v>
      </c>
      <c r="K34" s="13" t="n">
        <v>46468</v>
      </c>
      <c r="L34" s="28" t="str">
        <f aca="false">IFERROR(IF(SUMIF($A$6:$A$78,J34,$G$6:$G$78)=0,"",SUMIF($A$6:$A$78,J34,$G$6:$G$78)),"")</f>
        <v/>
      </c>
      <c r="M34" s="33" t="str">
        <f aca="false">IFERROR(IF(OR(L34="",L33=""),"",L34/L33-1),"")</f>
        <v/>
      </c>
      <c r="N34" s="21" t="str">
        <f aca="false">IF(M34="","",IF(M34&gt;0.2,"SUBIDA &gt;20%",IF(M34&lt;-0.2,"Descarga","")))</f>
        <v/>
      </c>
    </row>
    <row r="35" customFormat="false" ht="15" hidden="false" customHeight="false" outlineLevel="0" collapsed="false">
      <c r="A35" s="7" t="n">
        <v>16</v>
      </c>
      <c r="B35" s="13" t="n">
        <v>46371</v>
      </c>
      <c r="C35" s="7" t="s">
        <v>122</v>
      </c>
      <c r="D35" s="7" t="s">
        <v>165</v>
      </c>
      <c r="E35" s="14" t="n">
        <v>75</v>
      </c>
      <c r="F35" s="14"/>
      <c r="G35" s="32" t="str">
        <f aca="false">IF(F35="","",E35*F35)</f>
        <v/>
      </c>
      <c r="H35" s="8"/>
      <c r="J35" s="7" t="n">
        <v>30</v>
      </c>
      <c r="K35" s="13" t="n">
        <v>46475</v>
      </c>
      <c r="L35" s="28" t="str">
        <f aca="false">IFERROR(IF(SUMIF($A$6:$A$78,J35,$G$6:$G$78)=0,"",SUMIF($A$6:$A$78,J35,$G$6:$G$78)),"")</f>
        <v/>
      </c>
      <c r="M35" s="33" t="str">
        <f aca="false">IFERROR(IF(OR(L35="",L34=""),"",L35/L34-1),"")</f>
        <v/>
      </c>
      <c r="N35" s="21" t="str">
        <f aca="false">IF(M35="","",IF(M35&gt;0.2,"SUBIDA &gt;20%",IF(M35&lt;-0.2,"Descarga","")))</f>
        <v/>
      </c>
    </row>
    <row r="36" customFormat="false" ht="15" hidden="false" customHeight="false" outlineLevel="0" collapsed="false">
      <c r="A36" s="7" t="n">
        <v>16</v>
      </c>
      <c r="B36" s="13" t="n">
        <v>46374</v>
      </c>
      <c r="C36" s="7" t="s">
        <v>164</v>
      </c>
      <c r="D36" s="7" t="s">
        <v>165</v>
      </c>
      <c r="E36" s="14" t="n">
        <v>105</v>
      </c>
      <c r="F36" s="14"/>
      <c r="G36" s="32" t="str">
        <f aca="false">IF(F36="","",E36*F36)</f>
        <v/>
      </c>
      <c r="H36" s="8"/>
      <c r="J36" s="7" t="n">
        <v>31</v>
      </c>
      <c r="K36" s="13" t="n">
        <v>46482</v>
      </c>
      <c r="L36" s="28" t="str">
        <f aca="false">IFERROR(IF(SUMIF($A$6:$A$78,J36,$G$6:$G$78)=0,"",SUMIF($A$6:$A$78,J36,$G$6:$G$78)),"")</f>
        <v/>
      </c>
      <c r="M36" s="33" t="str">
        <f aca="false">IFERROR(IF(OR(L36="",L35=""),"",L36/L35-1),"")</f>
        <v/>
      </c>
      <c r="N36" s="21" t="str">
        <f aca="false">IF(M36="","",IF(M36&gt;0.2,"SUBIDA &gt;20%",IF(M36&lt;-0.2,"Descarga","")))</f>
        <v/>
      </c>
    </row>
    <row r="37" customFormat="false" ht="15" hidden="false" customHeight="false" outlineLevel="0" collapsed="false">
      <c r="A37" s="7" t="n">
        <v>17</v>
      </c>
      <c r="B37" s="13" t="n">
        <v>46385</v>
      </c>
      <c r="C37" s="7" t="s">
        <v>122</v>
      </c>
      <c r="D37" s="7" t="s">
        <v>166</v>
      </c>
      <c r="E37" s="14" t="n">
        <v>75</v>
      </c>
      <c r="F37" s="14"/>
      <c r="G37" s="32" t="str">
        <f aca="false">IF(F37="","",E37*F37)</f>
        <v/>
      </c>
      <c r="H37" s="8"/>
      <c r="J37" s="7" t="n">
        <v>32</v>
      </c>
      <c r="K37" s="13" t="n">
        <v>46489</v>
      </c>
      <c r="L37" s="28" t="str">
        <f aca="false">IFERROR(IF(SUMIF($A$6:$A$78,J37,$G$6:$G$78)=0,"",SUMIF($A$6:$A$78,J37,$G$6:$G$78)),"")</f>
        <v/>
      </c>
      <c r="M37" s="33" t="str">
        <f aca="false">IFERROR(IF(OR(L37="",L36=""),"",L37/L36-1),"")</f>
        <v/>
      </c>
      <c r="N37" s="21" t="str">
        <f aca="false">IF(M37="","",IF(M37&gt;0.2,"SUBIDA &gt;20%",IF(M37&lt;-0.2,"Descarga","")))</f>
        <v/>
      </c>
    </row>
    <row r="38" customFormat="false" ht="15" hidden="false" customHeight="false" outlineLevel="0" collapsed="false">
      <c r="A38" s="7" t="n">
        <v>18</v>
      </c>
      <c r="B38" s="13" t="n">
        <v>46392</v>
      </c>
      <c r="C38" s="7" t="s">
        <v>122</v>
      </c>
      <c r="D38" s="7" t="s">
        <v>166</v>
      </c>
      <c r="E38" s="14" t="n">
        <v>75</v>
      </c>
      <c r="F38" s="14"/>
      <c r="G38" s="32" t="str">
        <f aca="false">IF(F38="","",E38*F38)</f>
        <v/>
      </c>
      <c r="H38" s="8"/>
      <c r="J38" s="7" t="n">
        <v>33</v>
      </c>
      <c r="K38" s="13" t="n">
        <v>46496</v>
      </c>
      <c r="L38" s="28" t="str">
        <f aca="false">IFERROR(IF(SUMIF($A$6:$A$78,J38,$G$6:$G$78)=0,"",SUMIF($A$6:$A$78,J38,$G$6:$G$78)),"")</f>
        <v/>
      </c>
      <c r="M38" s="33" t="str">
        <f aca="false">IFERROR(IF(OR(L38="",L37=""),"",L38/L37-1),"")</f>
        <v/>
      </c>
      <c r="N38" s="21" t="str">
        <f aca="false">IF(M38="","",IF(M38&gt;0.2,"SUBIDA &gt;20%",IF(M38&lt;-0.2,"Descarga","")))</f>
        <v/>
      </c>
    </row>
    <row r="39" customFormat="false" ht="15" hidden="false" customHeight="false" outlineLevel="0" collapsed="false">
      <c r="A39" s="7" t="n">
        <v>18</v>
      </c>
      <c r="B39" s="13" t="n">
        <v>46395</v>
      </c>
      <c r="C39" s="7" t="s">
        <v>164</v>
      </c>
      <c r="D39" s="7" t="s">
        <v>166</v>
      </c>
      <c r="E39" s="14" t="n">
        <v>105</v>
      </c>
      <c r="F39" s="14"/>
      <c r="G39" s="32" t="str">
        <f aca="false">IF(F39="","",E39*F39)</f>
        <v/>
      </c>
      <c r="H39" s="8"/>
      <c r="J39" s="7" t="n">
        <v>34</v>
      </c>
      <c r="K39" s="13" t="n">
        <v>46503</v>
      </c>
      <c r="L39" s="28" t="str">
        <f aca="false">IFERROR(IF(SUMIF($A$6:$A$78,J39,$G$6:$G$78)=0,"",SUMIF($A$6:$A$78,J39,$G$6:$G$78)),"")</f>
        <v/>
      </c>
      <c r="M39" s="33" t="str">
        <f aca="false">IFERROR(IF(OR(L39="",L38=""),"",L39/L38-1),"")</f>
        <v/>
      </c>
      <c r="N39" s="21" t="str">
        <f aca="false">IF(M39="","",IF(M39&gt;0.2,"SUBIDA &gt;20%",IF(M39&lt;-0.2,"Descarga","")))</f>
        <v/>
      </c>
    </row>
    <row r="40" customFormat="false" ht="15" hidden="false" customHeight="false" outlineLevel="0" collapsed="false">
      <c r="A40" s="7" t="n">
        <v>19</v>
      </c>
      <c r="B40" s="13" t="n">
        <v>46399</v>
      </c>
      <c r="C40" s="7" t="s">
        <v>122</v>
      </c>
      <c r="D40" s="7" t="s">
        <v>167</v>
      </c>
      <c r="E40" s="14" t="n">
        <v>75</v>
      </c>
      <c r="F40" s="14"/>
      <c r="G40" s="32" t="str">
        <f aca="false">IF(F40="","",E40*F40)</f>
        <v/>
      </c>
      <c r="H40" s="8"/>
      <c r="J40" s="7" t="n">
        <v>35</v>
      </c>
      <c r="K40" s="13" t="n">
        <v>46510</v>
      </c>
      <c r="L40" s="28" t="str">
        <f aca="false">IFERROR(IF(SUMIF($A$6:$A$78,J40,$G$6:$G$78)=0,"",SUMIF($A$6:$A$78,J40,$G$6:$G$78)),"")</f>
        <v/>
      </c>
      <c r="M40" s="33" t="str">
        <f aca="false">IFERROR(IF(OR(L40="",L39=""),"",L40/L39-1),"")</f>
        <v/>
      </c>
      <c r="N40" s="21" t="str">
        <f aca="false">IF(M40="","",IF(M40&gt;0.2,"SUBIDA &gt;20%",IF(M40&lt;-0.2,"Descarga","")))</f>
        <v/>
      </c>
    </row>
    <row r="41" customFormat="false" ht="15" hidden="false" customHeight="false" outlineLevel="0" collapsed="false">
      <c r="A41" s="7" t="n">
        <v>19</v>
      </c>
      <c r="B41" s="13" t="n">
        <v>46402</v>
      </c>
      <c r="C41" s="7" t="s">
        <v>164</v>
      </c>
      <c r="D41" s="7" t="s">
        <v>167</v>
      </c>
      <c r="E41" s="14" t="n">
        <v>105</v>
      </c>
      <c r="F41" s="14"/>
      <c r="G41" s="32" t="str">
        <f aca="false">IF(F41="","",E41*F41)</f>
        <v/>
      </c>
      <c r="H41" s="8"/>
      <c r="J41" s="7" t="n">
        <v>36</v>
      </c>
      <c r="K41" s="13" t="n">
        <v>46517</v>
      </c>
      <c r="L41" s="28" t="str">
        <f aca="false">IFERROR(IF(SUMIF($A$6:$A$78,J41,$G$6:$G$78)=0,"",SUMIF($A$6:$A$78,J41,$G$6:$G$78)),"")</f>
        <v/>
      </c>
      <c r="M41" s="33" t="str">
        <f aca="false">IFERROR(IF(OR(L41="",L40=""),"",L41/L40-1),"")</f>
        <v/>
      </c>
      <c r="N41" s="21" t="str">
        <f aca="false">IF(M41="","",IF(M41&gt;0.2,"SUBIDA &gt;20%",IF(M41&lt;-0.2,"Descarga","")))</f>
        <v/>
      </c>
    </row>
    <row r="42" customFormat="false" ht="15" hidden="false" customHeight="false" outlineLevel="0" collapsed="false">
      <c r="A42" s="7" t="n">
        <v>20</v>
      </c>
      <c r="B42" s="13" t="n">
        <v>46406</v>
      </c>
      <c r="C42" s="7" t="s">
        <v>122</v>
      </c>
      <c r="D42" s="7" t="s">
        <v>167</v>
      </c>
      <c r="E42" s="14" t="n">
        <v>75</v>
      </c>
      <c r="F42" s="14"/>
      <c r="G42" s="32" t="str">
        <f aca="false">IF(F42="","",E42*F42)</f>
        <v/>
      </c>
      <c r="H42" s="8"/>
      <c r="J42" s="7" t="n">
        <v>37</v>
      </c>
      <c r="K42" s="13" t="n">
        <v>46524</v>
      </c>
      <c r="L42" s="28" t="str">
        <f aca="false">IFERROR(IF(SUMIF($A$6:$A$78,J42,$G$6:$G$78)=0,"",SUMIF($A$6:$A$78,J42,$G$6:$G$78)),"")</f>
        <v/>
      </c>
      <c r="M42" s="33" t="str">
        <f aca="false">IFERROR(IF(OR(L42="",L41=""),"",L42/L41-1),"")</f>
        <v/>
      </c>
      <c r="N42" s="21" t="str">
        <f aca="false">IF(M42="","",IF(M42&gt;0.2,"SUBIDA &gt;20%",IF(M42&lt;-0.2,"Descarga","")))</f>
        <v/>
      </c>
    </row>
    <row r="43" customFormat="false" ht="15" hidden="false" customHeight="false" outlineLevel="0" collapsed="false">
      <c r="A43" s="7" t="n">
        <v>20</v>
      </c>
      <c r="B43" s="13" t="n">
        <v>46409</v>
      </c>
      <c r="C43" s="7" t="s">
        <v>164</v>
      </c>
      <c r="D43" s="7" t="s">
        <v>167</v>
      </c>
      <c r="E43" s="14" t="n">
        <v>105</v>
      </c>
      <c r="F43" s="14"/>
      <c r="G43" s="32" t="str">
        <f aca="false">IF(F43="","",E43*F43)</f>
        <v/>
      </c>
      <c r="H43" s="8"/>
      <c r="J43" s="7" t="n">
        <v>38</v>
      </c>
      <c r="K43" s="13" t="n">
        <v>46531</v>
      </c>
      <c r="L43" s="28" t="str">
        <f aca="false">IFERROR(IF(SUMIF($A$6:$A$78,J43,$G$6:$G$78)=0,"",SUMIF($A$6:$A$78,J43,$G$6:$G$78)),"")</f>
        <v/>
      </c>
      <c r="M43" s="33" t="str">
        <f aca="false">IFERROR(IF(OR(L43="",L42=""),"",L43/L42-1),"")</f>
        <v/>
      </c>
      <c r="N43" s="21" t="str">
        <f aca="false">IF(M43="","",IF(M43&gt;0.2,"SUBIDA &gt;20%",IF(M43&lt;-0.2,"Descarga","")))</f>
        <v/>
      </c>
    </row>
    <row r="44" customFormat="false" ht="15" hidden="false" customHeight="false" outlineLevel="0" collapsed="false">
      <c r="A44" s="7" t="n">
        <v>21</v>
      </c>
      <c r="B44" s="13" t="n">
        <v>46413</v>
      </c>
      <c r="C44" s="7" t="s">
        <v>122</v>
      </c>
      <c r="D44" s="7" t="s">
        <v>167</v>
      </c>
      <c r="E44" s="14" t="n">
        <v>75</v>
      </c>
      <c r="F44" s="14"/>
      <c r="G44" s="32" t="str">
        <f aca="false">IF(F44="","",E44*F44)</f>
        <v/>
      </c>
      <c r="H44" s="8"/>
    </row>
    <row r="45" customFormat="false" ht="15" hidden="false" customHeight="false" outlineLevel="0" collapsed="false">
      <c r="A45" s="7" t="n">
        <v>21</v>
      </c>
      <c r="B45" s="13" t="n">
        <v>46416</v>
      </c>
      <c r="C45" s="7" t="s">
        <v>164</v>
      </c>
      <c r="D45" s="7" t="s">
        <v>167</v>
      </c>
      <c r="E45" s="14" t="n">
        <v>105</v>
      </c>
      <c r="F45" s="14"/>
      <c r="G45" s="32" t="str">
        <f aca="false">IF(F45="","",E45*F45)</f>
        <v/>
      </c>
      <c r="H45" s="8"/>
    </row>
    <row r="46" customFormat="false" ht="15" hidden="false" customHeight="false" outlineLevel="0" collapsed="false">
      <c r="A46" s="7" t="n">
        <v>22</v>
      </c>
      <c r="B46" s="13" t="n">
        <v>46420</v>
      </c>
      <c r="C46" s="7" t="s">
        <v>122</v>
      </c>
      <c r="D46" s="7" t="s">
        <v>167</v>
      </c>
      <c r="E46" s="14" t="n">
        <v>75</v>
      </c>
      <c r="F46" s="14"/>
      <c r="G46" s="32" t="str">
        <f aca="false">IF(F46="","",E46*F46)</f>
        <v/>
      </c>
      <c r="H46" s="8"/>
    </row>
    <row r="47" customFormat="false" ht="15" hidden="false" customHeight="false" outlineLevel="0" collapsed="false">
      <c r="A47" s="7" t="n">
        <v>22</v>
      </c>
      <c r="B47" s="13" t="n">
        <v>46423</v>
      </c>
      <c r="C47" s="7" t="s">
        <v>164</v>
      </c>
      <c r="D47" s="7" t="s">
        <v>167</v>
      </c>
      <c r="E47" s="14" t="n">
        <v>105</v>
      </c>
      <c r="F47" s="14"/>
      <c r="G47" s="32" t="str">
        <f aca="false">IF(F47="","",E47*F47)</f>
        <v/>
      </c>
      <c r="H47" s="8"/>
    </row>
    <row r="48" customFormat="false" ht="15" hidden="false" customHeight="false" outlineLevel="0" collapsed="false">
      <c r="A48" s="7" t="n">
        <v>23</v>
      </c>
      <c r="B48" s="13" t="n">
        <v>46427</v>
      </c>
      <c r="C48" s="7" t="s">
        <v>122</v>
      </c>
      <c r="D48" s="7" t="s">
        <v>167</v>
      </c>
      <c r="E48" s="14" t="n">
        <v>75</v>
      </c>
      <c r="F48" s="14"/>
      <c r="G48" s="32" t="str">
        <f aca="false">IF(F48="","",E48*F48)</f>
        <v/>
      </c>
      <c r="H48" s="8"/>
    </row>
    <row r="49" customFormat="false" ht="15" hidden="false" customHeight="false" outlineLevel="0" collapsed="false">
      <c r="A49" s="7" t="n">
        <v>23</v>
      </c>
      <c r="B49" s="13" t="n">
        <v>46430</v>
      </c>
      <c r="C49" s="7" t="s">
        <v>164</v>
      </c>
      <c r="D49" s="7" t="s">
        <v>167</v>
      </c>
      <c r="E49" s="14" t="n">
        <v>105</v>
      </c>
      <c r="F49" s="14"/>
      <c r="G49" s="32" t="str">
        <f aca="false">IF(F49="","",E49*F49)</f>
        <v/>
      </c>
      <c r="H49" s="8"/>
    </row>
    <row r="50" customFormat="false" ht="15" hidden="false" customHeight="false" outlineLevel="0" collapsed="false">
      <c r="A50" s="7" t="n">
        <v>24</v>
      </c>
      <c r="B50" s="13" t="n">
        <v>46434</v>
      </c>
      <c r="C50" s="7" t="s">
        <v>122</v>
      </c>
      <c r="D50" s="7" t="s">
        <v>167</v>
      </c>
      <c r="E50" s="14" t="n">
        <v>75</v>
      </c>
      <c r="F50" s="14"/>
      <c r="G50" s="32" t="str">
        <f aca="false">IF(F50="","",E50*F50)</f>
        <v/>
      </c>
      <c r="H50" s="8"/>
    </row>
    <row r="51" customFormat="false" ht="15" hidden="false" customHeight="false" outlineLevel="0" collapsed="false">
      <c r="A51" s="7" t="n">
        <v>24</v>
      </c>
      <c r="B51" s="13" t="n">
        <v>46437</v>
      </c>
      <c r="C51" s="7" t="s">
        <v>164</v>
      </c>
      <c r="D51" s="7" t="s">
        <v>167</v>
      </c>
      <c r="E51" s="14" t="n">
        <v>105</v>
      </c>
      <c r="F51" s="14"/>
      <c r="G51" s="32" t="str">
        <f aca="false">IF(F51="","",E51*F51)</f>
        <v/>
      </c>
      <c r="H51" s="8"/>
    </row>
    <row r="52" customFormat="false" ht="15" hidden="false" customHeight="false" outlineLevel="0" collapsed="false">
      <c r="A52" s="7" t="n">
        <v>25</v>
      </c>
      <c r="B52" s="13" t="n">
        <v>46441</v>
      </c>
      <c r="C52" s="7" t="s">
        <v>122</v>
      </c>
      <c r="D52" s="7" t="s">
        <v>167</v>
      </c>
      <c r="E52" s="14" t="n">
        <v>75</v>
      </c>
      <c r="F52" s="14"/>
      <c r="G52" s="32" t="str">
        <f aca="false">IF(F52="","",E52*F52)</f>
        <v/>
      </c>
      <c r="H52" s="8"/>
    </row>
    <row r="53" customFormat="false" ht="15" hidden="false" customHeight="false" outlineLevel="0" collapsed="false">
      <c r="A53" s="7" t="n">
        <v>25</v>
      </c>
      <c r="B53" s="13" t="n">
        <v>46444</v>
      </c>
      <c r="C53" s="7" t="s">
        <v>164</v>
      </c>
      <c r="D53" s="7" t="s">
        <v>167</v>
      </c>
      <c r="E53" s="14" t="n">
        <v>105</v>
      </c>
      <c r="F53" s="14"/>
      <c r="G53" s="32" t="str">
        <f aca="false">IF(F53="","",E53*F53)</f>
        <v/>
      </c>
      <c r="H53" s="8"/>
    </row>
    <row r="54" customFormat="false" ht="15" hidden="false" customHeight="false" outlineLevel="0" collapsed="false">
      <c r="A54" s="7" t="n">
        <v>26</v>
      </c>
      <c r="B54" s="13" t="n">
        <v>46448</v>
      </c>
      <c r="C54" s="7" t="s">
        <v>122</v>
      </c>
      <c r="D54" s="7" t="s">
        <v>167</v>
      </c>
      <c r="E54" s="14" t="n">
        <v>75</v>
      </c>
      <c r="F54" s="14"/>
      <c r="G54" s="32" t="str">
        <f aca="false">IF(F54="","",E54*F54)</f>
        <v/>
      </c>
      <c r="H54" s="8"/>
    </row>
    <row r="55" customFormat="false" ht="15" hidden="false" customHeight="false" outlineLevel="0" collapsed="false">
      <c r="A55" s="7" t="n">
        <v>26</v>
      </c>
      <c r="B55" s="13" t="n">
        <v>46451</v>
      </c>
      <c r="C55" s="7" t="s">
        <v>164</v>
      </c>
      <c r="D55" s="7" t="s">
        <v>167</v>
      </c>
      <c r="E55" s="14" t="n">
        <v>105</v>
      </c>
      <c r="F55" s="14"/>
      <c r="G55" s="32" t="str">
        <f aca="false">IF(F55="","",E55*F55)</f>
        <v/>
      </c>
      <c r="H55" s="8"/>
    </row>
    <row r="56" customFormat="false" ht="15" hidden="false" customHeight="false" outlineLevel="0" collapsed="false">
      <c r="A56" s="7" t="n">
        <v>27</v>
      </c>
      <c r="B56" s="13" t="n">
        <v>46455</v>
      </c>
      <c r="C56" s="7" t="s">
        <v>122</v>
      </c>
      <c r="D56" s="7" t="s">
        <v>167</v>
      </c>
      <c r="E56" s="14" t="n">
        <v>75</v>
      </c>
      <c r="F56" s="14"/>
      <c r="G56" s="32" t="str">
        <f aca="false">IF(F56="","",E56*F56)</f>
        <v/>
      </c>
      <c r="H56" s="8"/>
    </row>
    <row r="57" customFormat="false" ht="15" hidden="false" customHeight="false" outlineLevel="0" collapsed="false">
      <c r="A57" s="7" t="n">
        <v>27</v>
      </c>
      <c r="B57" s="13" t="n">
        <v>46458</v>
      </c>
      <c r="C57" s="7" t="s">
        <v>164</v>
      </c>
      <c r="D57" s="7" t="s">
        <v>167</v>
      </c>
      <c r="E57" s="14" t="n">
        <v>105</v>
      </c>
      <c r="F57" s="14"/>
      <c r="G57" s="32" t="str">
        <f aca="false">IF(F57="","",E57*F57)</f>
        <v/>
      </c>
      <c r="H57" s="8"/>
    </row>
    <row r="58" customFormat="false" ht="15" hidden="false" customHeight="false" outlineLevel="0" collapsed="false">
      <c r="A58" s="7" t="n">
        <v>28</v>
      </c>
      <c r="B58" s="13" t="n">
        <v>46462</v>
      </c>
      <c r="C58" s="7" t="s">
        <v>122</v>
      </c>
      <c r="D58" s="7" t="s">
        <v>168</v>
      </c>
      <c r="E58" s="14" t="n">
        <v>75</v>
      </c>
      <c r="F58" s="14"/>
      <c r="G58" s="32" t="str">
        <f aca="false">IF(F58="","",E58*F58)</f>
        <v/>
      </c>
      <c r="H58" s="8"/>
    </row>
    <row r="59" customFormat="false" ht="15" hidden="false" customHeight="false" outlineLevel="0" collapsed="false">
      <c r="A59" s="7" t="n">
        <v>28</v>
      </c>
      <c r="B59" s="13" t="n">
        <v>46465</v>
      </c>
      <c r="C59" s="7" t="s">
        <v>164</v>
      </c>
      <c r="D59" s="7" t="s">
        <v>168</v>
      </c>
      <c r="E59" s="14" t="n">
        <v>105</v>
      </c>
      <c r="F59" s="14"/>
      <c r="G59" s="32" t="str">
        <f aca="false">IF(F59="","",E59*F59)</f>
        <v/>
      </c>
      <c r="H59" s="8"/>
    </row>
    <row r="60" customFormat="false" ht="15" hidden="false" customHeight="false" outlineLevel="0" collapsed="false">
      <c r="A60" s="7" t="n">
        <v>29</v>
      </c>
      <c r="B60" s="13" t="n">
        <v>46469</v>
      </c>
      <c r="C60" s="7" t="s">
        <v>122</v>
      </c>
      <c r="D60" s="7" t="s">
        <v>168</v>
      </c>
      <c r="E60" s="14" t="n">
        <v>75</v>
      </c>
      <c r="F60" s="14"/>
      <c r="G60" s="32" t="str">
        <f aca="false">IF(F60="","",E60*F60)</f>
        <v/>
      </c>
      <c r="H60" s="8"/>
    </row>
    <row r="61" customFormat="false" ht="15" hidden="false" customHeight="false" outlineLevel="0" collapsed="false">
      <c r="A61" s="7" t="n">
        <v>30</v>
      </c>
      <c r="B61" s="13" t="n">
        <v>46476</v>
      </c>
      <c r="C61" s="7" t="s">
        <v>122</v>
      </c>
      <c r="D61" s="7" t="s">
        <v>169</v>
      </c>
      <c r="E61" s="14" t="n">
        <v>75</v>
      </c>
      <c r="F61" s="14"/>
      <c r="G61" s="32" t="str">
        <f aca="false">IF(F61="","",E61*F61)</f>
        <v/>
      </c>
      <c r="H61" s="8"/>
    </row>
    <row r="62" customFormat="false" ht="15" hidden="false" customHeight="false" outlineLevel="0" collapsed="false">
      <c r="A62" s="7" t="n">
        <v>30</v>
      </c>
      <c r="B62" s="13" t="n">
        <v>46479</v>
      </c>
      <c r="C62" s="7" t="s">
        <v>164</v>
      </c>
      <c r="D62" s="7" t="s">
        <v>169</v>
      </c>
      <c r="E62" s="14" t="n">
        <v>105</v>
      </c>
      <c r="F62" s="14"/>
      <c r="G62" s="32" t="str">
        <f aca="false">IF(F62="","",E62*F62)</f>
        <v/>
      </c>
      <c r="H62" s="8"/>
    </row>
    <row r="63" customFormat="false" ht="15" hidden="false" customHeight="false" outlineLevel="0" collapsed="false">
      <c r="A63" s="7" t="n">
        <v>31</v>
      </c>
      <c r="B63" s="13" t="n">
        <v>46483</v>
      </c>
      <c r="C63" s="7" t="s">
        <v>122</v>
      </c>
      <c r="D63" s="7" t="s">
        <v>169</v>
      </c>
      <c r="E63" s="14" t="n">
        <v>75</v>
      </c>
      <c r="F63" s="14"/>
      <c r="G63" s="32" t="str">
        <f aca="false">IF(F63="","",E63*F63)</f>
        <v/>
      </c>
      <c r="H63" s="8"/>
    </row>
    <row r="64" customFormat="false" ht="15" hidden="false" customHeight="false" outlineLevel="0" collapsed="false">
      <c r="A64" s="7" t="n">
        <v>31</v>
      </c>
      <c r="B64" s="13" t="n">
        <v>46486</v>
      </c>
      <c r="C64" s="7" t="s">
        <v>164</v>
      </c>
      <c r="D64" s="7" t="s">
        <v>169</v>
      </c>
      <c r="E64" s="14" t="n">
        <v>105</v>
      </c>
      <c r="F64" s="14"/>
      <c r="G64" s="32" t="str">
        <f aca="false">IF(F64="","",E64*F64)</f>
        <v/>
      </c>
      <c r="H64" s="8"/>
    </row>
    <row r="65" customFormat="false" ht="15" hidden="false" customHeight="false" outlineLevel="0" collapsed="false">
      <c r="A65" s="7" t="n">
        <v>32</v>
      </c>
      <c r="B65" s="13" t="n">
        <v>46490</v>
      </c>
      <c r="C65" s="7" t="s">
        <v>122</v>
      </c>
      <c r="D65" s="7" t="s">
        <v>169</v>
      </c>
      <c r="E65" s="14" t="n">
        <v>75</v>
      </c>
      <c r="F65" s="14"/>
      <c r="G65" s="32" t="str">
        <f aca="false">IF(F65="","",E65*F65)</f>
        <v/>
      </c>
      <c r="H65" s="8"/>
    </row>
    <row r="66" customFormat="false" ht="15" hidden="false" customHeight="false" outlineLevel="0" collapsed="false">
      <c r="A66" s="7" t="n">
        <v>32</v>
      </c>
      <c r="B66" s="13" t="n">
        <v>46493</v>
      </c>
      <c r="C66" s="7" t="s">
        <v>164</v>
      </c>
      <c r="D66" s="7" t="s">
        <v>169</v>
      </c>
      <c r="E66" s="14" t="n">
        <v>105</v>
      </c>
      <c r="F66" s="14"/>
      <c r="G66" s="32" t="str">
        <f aca="false">IF(F66="","",E66*F66)</f>
        <v/>
      </c>
      <c r="H66" s="8"/>
    </row>
    <row r="67" customFormat="false" ht="15" hidden="false" customHeight="false" outlineLevel="0" collapsed="false">
      <c r="A67" s="7" t="n">
        <v>33</v>
      </c>
      <c r="B67" s="13" t="n">
        <v>46497</v>
      </c>
      <c r="C67" s="7" t="s">
        <v>122</v>
      </c>
      <c r="D67" s="7" t="s">
        <v>169</v>
      </c>
      <c r="E67" s="14" t="n">
        <v>75</v>
      </c>
      <c r="F67" s="14"/>
      <c r="G67" s="32" t="str">
        <f aca="false">IF(F67="","",E67*F67)</f>
        <v/>
      </c>
      <c r="H67" s="8"/>
    </row>
    <row r="68" customFormat="false" ht="15" hidden="false" customHeight="false" outlineLevel="0" collapsed="false">
      <c r="A68" s="7" t="n">
        <v>33</v>
      </c>
      <c r="B68" s="13" t="n">
        <v>46500</v>
      </c>
      <c r="C68" s="7" t="s">
        <v>164</v>
      </c>
      <c r="D68" s="7" t="s">
        <v>169</v>
      </c>
      <c r="E68" s="14" t="n">
        <v>105</v>
      </c>
      <c r="F68" s="14"/>
      <c r="G68" s="32" t="str">
        <f aca="false">IF(F68="","",E68*F68)</f>
        <v/>
      </c>
      <c r="H68" s="8"/>
    </row>
    <row r="69" customFormat="false" ht="15" hidden="false" customHeight="false" outlineLevel="0" collapsed="false">
      <c r="A69" s="7" t="n">
        <v>34</v>
      </c>
      <c r="B69" s="13" t="n">
        <v>46504</v>
      </c>
      <c r="C69" s="7" t="s">
        <v>122</v>
      </c>
      <c r="D69" s="7" t="s">
        <v>170</v>
      </c>
      <c r="E69" s="14" t="n">
        <v>75</v>
      </c>
      <c r="F69" s="14"/>
      <c r="G69" s="32" t="str">
        <f aca="false">IF(F69="","",E69*F69)</f>
        <v/>
      </c>
      <c r="H69" s="8"/>
    </row>
    <row r="70" customFormat="false" ht="15" hidden="false" customHeight="false" outlineLevel="0" collapsed="false">
      <c r="A70" s="7" t="n">
        <v>34</v>
      </c>
      <c r="B70" s="13" t="n">
        <v>46507</v>
      </c>
      <c r="C70" s="7" t="s">
        <v>164</v>
      </c>
      <c r="D70" s="7" t="s">
        <v>170</v>
      </c>
      <c r="E70" s="14" t="n">
        <v>105</v>
      </c>
      <c r="F70" s="14"/>
      <c r="G70" s="32" t="str">
        <f aca="false">IF(F70="","",E70*F70)</f>
        <v/>
      </c>
      <c r="H70" s="8"/>
    </row>
    <row r="71" customFormat="false" ht="15" hidden="false" customHeight="false" outlineLevel="0" collapsed="false">
      <c r="A71" s="7" t="n">
        <v>35</v>
      </c>
      <c r="B71" s="13" t="n">
        <v>46511</v>
      </c>
      <c r="C71" s="7" t="s">
        <v>122</v>
      </c>
      <c r="D71" s="7" t="s">
        <v>170</v>
      </c>
      <c r="E71" s="14" t="n">
        <v>75</v>
      </c>
      <c r="F71" s="14"/>
      <c r="G71" s="32" t="str">
        <f aca="false">IF(F71="","",E71*F71)</f>
        <v/>
      </c>
      <c r="H71" s="8"/>
    </row>
    <row r="72" customFormat="false" ht="15" hidden="false" customHeight="false" outlineLevel="0" collapsed="false">
      <c r="A72" s="7" t="n">
        <v>35</v>
      </c>
      <c r="B72" s="13" t="n">
        <v>46514</v>
      </c>
      <c r="C72" s="7" t="s">
        <v>164</v>
      </c>
      <c r="D72" s="7" t="s">
        <v>170</v>
      </c>
      <c r="E72" s="14" t="n">
        <v>105</v>
      </c>
      <c r="F72" s="14"/>
      <c r="G72" s="32" t="str">
        <f aca="false">IF(F72="","",E72*F72)</f>
        <v/>
      </c>
      <c r="H72" s="8"/>
    </row>
    <row r="73" customFormat="false" ht="15" hidden="false" customHeight="false" outlineLevel="0" collapsed="false">
      <c r="A73" s="7" t="n">
        <v>36</v>
      </c>
      <c r="B73" s="13" t="n">
        <v>46518</v>
      </c>
      <c r="C73" s="7" t="s">
        <v>122</v>
      </c>
      <c r="D73" s="7" t="s">
        <v>170</v>
      </c>
      <c r="E73" s="14" t="n">
        <v>75</v>
      </c>
      <c r="F73" s="14"/>
      <c r="G73" s="32" t="str">
        <f aca="false">IF(F73="","",E73*F73)</f>
        <v/>
      </c>
      <c r="H73" s="8"/>
    </row>
    <row r="74" customFormat="false" ht="15" hidden="false" customHeight="false" outlineLevel="0" collapsed="false">
      <c r="A74" s="7" t="n">
        <v>36</v>
      </c>
      <c r="B74" s="13" t="n">
        <v>46521</v>
      </c>
      <c r="C74" s="7" t="s">
        <v>164</v>
      </c>
      <c r="D74" s="7" t="s">
        <v>170</v>
      </c>
      <c r="E74" s="14" t="n">
        <v>105</v>
      </c>
      <c r="F74" s="14"/>
      <c r="G74" s="32" t="str">
        <f aca="false">IF(F74="","",E74*F74)</f>
        <v/>
      </c>
      <c r="H74" s="8"/>
    </row>
    <row r="75" customFormat="false" ht="15" hidden="false" customHeight="false" outlineLevel="0" collapsed="false">
      <c r="A75" s="7" t="n">
        <v>37</v>
      </c>
      <c r="B75" s="13" t="n">
        <v>46525</v>
      </c>
      <c r="C75" s="7" t="s">
        <v>122</v>
      </c>
      <c r="D75" s="7" t="s">
        <v>170</v>
      </c>
      <c r="E75" s="14" t="n">
        <v>75</v>
      </c>
      <c r="F75" s="14"/>
      <c r="G75" s="32" t="str">
        <f aca="false">IF(F75="","",E75*F75)</f>
        <v/>
      </c>
      <c r="H75" s="8"/>
    </row>
    <row r="76" customFormat="false" ht="15" hidden="false" customHeight="false" outlineLevel="0" collapsed="false">
      <c r="A76" s="7" t="n">
        <v>37</v>
      </c>
      <c r="B76" s="13" t="n">
        <v>46528</v>
      </c>
      <c r="C76" s="7" t="s">
        <v>164</v>
      </c>
      <c r="D76" s="7" t="s">
        <v>170</v>
      </c>
      <c r="E76" s="14" t="n">
        <v>105</v>
      </c>
      <c r="F76" s="14"/>
      <c r="G76" s="32" t="str">
        <f aca="false">IF(F76="","",E76*F76)</f>
        <v/>
      </c>
      <c r="H76" s="8"/>
    </row>
    <row r="77" customFormat="false" ht="15" hidden="false" customHeight="false" outlineLevel="0" collapsed="false">
      <c r="A77" s="7" t="n">
        <v>38</v>
      </c>
      <c r="B77" s="13" t="n">
        <v>46532</v>
      </c>
      <c r="C77" s="7" t="s">
        <v>122</v>
      </c>
      <c r="D77" s="7" t="s">
        <v>170</v>
      </c>
      <c r="E77" s="14" t="n">
        <v>75</v>
      </c>
      <c r="F77" s="14"/>
      <c r="G77" s="32" t="str">
        <f aca="false">IF(F77="","",E77*F77)</f>
        <v/>
      </c>
      <c r="H77" s="8"/>
    </row>
    <row r="78" customFormat="false" ht="15" hidden="false" customHeight="false" outlineLevel="0" collapsed="false">
      <c r="A78" s="7" t="n">
        <v>38</v>
      </c>
      <c r="B78" s="13" t="n">
        <v>46535</v>
      </c>
      <c r="C78" s="7" t="s">
        <v>164</v>
      </c>
      <c r="D78" s="7" t="s">
        <v>170</v>
      </c>
      <c r="E78" s="14" t="n">
        <v>105</v>
      </c>
      <c r="F78" s="14"/>
      <c r="G78" s="32" t="str">
        <f aca="false">IF(F78="","",E78*F78)</f>
        <v/>
      </c>
      <c r="H78" s="8"/>
    </row>
  </sheetData>
  <conditionalFormatting sqref="N6:N43">
    <cfRule type="expression" priority="2" aboveAverage="0" equalAverage="0" bottom="0" percent="0" rank="0" text="" dxfId="1">
      <formula>N6="SUBIDA &gt;20%"</formula>
    </cfRule>
    <cfRule type="expression" priority="3" aboveAverage="0" equalAverage="0" bottom="0" percent="0" rank="0" text="" dxfId="0">
      <formula>N6="Descarga"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14" min="3" style="0" width="6"/>
    <col collapsed="false" customWidth="true" hidden="false" outlineLevel="0" max="15" min="15" style="0" width="8"/>
  </cols>
  <sheetData>
    <row r="1" customFormat="false" ht="17.35" hidden="false" customHeight="false" outlineLevel="0" collapsed="false">
      <c r="A1" s="1" t="s">
        <v>171</v>
      </c>
    </row>
    <row r="2" customFormat="false" ht="15" hidden="false" customHeight="false" outlineLevel="0" collapsed="false">
      <c r="A2" s="10" t="s">
        <v>172</v>
      </c>
    </row>
    <row r="4" customFormat="false" ht="15" hidden="false" customHeight="false" outlineLevel="0" collapsed="false">
      <c r="A4" s="5" t="s">
        <v>45</v>
      </c>
      <c r="B4" s="5" t="s">
        <v>155</v>
      </c>
      <c r="C4" s="5" t="s">
        <v>60</v>
      </c>
      <c r="D4" s="5" t="s">
        <v>64</v>
      </c>
      <c r="E4" s="5" t="s">
        <v>65</v>
      </c>
      <c r="F4" s="5" t="s">
        <v>66</v>
      </c>
      <c r="G4" s="5" t="s">
        <v>67</v>
      </c>
      <c r="H4" s="5" t="s">
        <v>68</v>
      </c>
      <c r="I4" s="5" t="s">
        <v>69</v>
      </c>
      <c r="J4" s="5" t="s">
        <v>70</v>
      </c>
      <c r="K4" s="5" t="s">
        <v>71</v>
      </c>
      <c r="L4" s="5" t="s">
        <v>72</v>
      </c>
      <c r="M4" s="5" t="s">
        <v>73</v>
      </c>
      <c r="N4" s="5" t="s">
        <v>74</v>
      </c>
      <c r="O4" s="5" t="s">
        <v>96</v>
      </c>
    </row>
    <row r="5" customFormat="false" ht="15" hidden="false" customHeight="false" outlineLevel="0" collapsed="false">
      <c r="A5" s="13" t="n">
        <v>46266</v>
      </c>
      <c r="B5" s="7" t="s">
        <v>163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21" t="str">
        <f aca="false">IF(COUNT(C5:N5)=0,"",SUM(C5:N5))</f>
        <v/>
      </c>
    </row>
    <row r="6" customFormat="false" ht="15" hidden="false" customHeight="false" outlineLevel="0" collapsed="false">
      <c r="A6" s="13" t="n">
        <v>46269</v>
      </c>
      <c r="B6" s="7" t="s">
        <v>163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21" t="str">
        <f aca="false">IF(COUNT(C6:N6)=0,"",SUM(C6:N6))</f>
        <v/>
      </c>
    </row>
    <row r="7" customFormat="false" ht="15" hidden="false" customHeight="false" outlineLevel="0" collapsed="false">
      <c r="A7" s="13" t="n">
        <v>46273</v>
      </c>
      <c r="B7" s="7" t="s">
        <v>163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21" t="str">
        <f aca="false">IF(COUNT(C7:N7)=0,"",SUM(C7:N7))</f>
        <v/>
      </c>
    </row>
    <row r="8" customFormat="false" ht="15" hidden="false" customHeight="false" outlineLevel="0" collapsed="false">
      <c r="A8" s="13" t="n">
        <v>46276</v>
      </c>
      <c r="B8" s="7" t="s">
        <v>163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21" t="str">
        <f aca="false">IF(COUNT(C8:N8)=0,"",SUM(C8:N8))</f>
        <v/>
      </c>
    </row>
    <row r="9" customFormat="false" ht="15" hidden="false" customHeight="false" outlineLevel="0" collapsed="false">
      <c r="A9" s="13" t="n">
        <v>46280</v>
      </c>
      <c r="B9" s="7" t="s">
        <v>163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21" t="str">
        <f aca="false">IF(COUNT(C9:N9)=0,"",SUM(C9:N9))</f>
        <v/>
      </c>
    </row>
    <row r="10" customFormat="false" ht="15" hidden="false" customHeight="false" outlineLevel="0" collapsed="false">
      <c r="A10" s="13" t="n">
        <v>46283</v>
      </c>
      <c r="B10" s="7" t="s">
        <v>163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21" t="str">
        <f aca="false">IF(COUNT(C10:N10)=0,"",SUM(C10:N10))</f>
        <v/>
      </c>
    </row>
    <row r="11" customFormat="false" ht="15" hidden="false" customHeight="false" outlineLevel="0" collapsed="false">
      <c r="A11" s="13" t="n">
        <v>46287</v>
      </c>
      <c r="B11" s="7" t="s">
        <v>163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21" t="str">
        <f aca="false">IF(COUNT(C11:N11)=0,"",SUM(C11:N11))</f>
        <v/>
      </c>
    </row>
    <row r="12" customFormat="false" ht="15" hidden="false" customHeight="false" outlineLevel="0" collapsed="false">
      <c r="A12" s="13" t="n">
        <v>46290</v>
      </c>
      <c r="B12" s="7" t="s">
        <v>163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21" t="str">
        <f aca="false">IF(COUNT(C12:N12)=0,"",SUM(C12:N12))</f>
        <v/>
      </c>
    </row>
    <row r="13" customFormat="false" ht="15" hidden="false" customHeight="false" outlineLevel="0" collapsed="false">
      <c r="A13" s="13" t="n">
        <v>46294</v>
      </c>
      <c r="B13" s="7" t="s">
        <v>163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21" t="str">
        <f aca="false">IF(COUNT(C13:N13)=0,"",SUM(C13:N13))</f>
        <v/>
      </c>
    </row>
    <row r="14" customFormat="false" ht="15" hidden="false" customHeight="false" outlineLevel="0" collapsed="false">
      <c r="A14" s="13" t="n">
        <v>46297</v>
      </c>
      <c r="B14" s="7" t="s">
        <v>163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21" t="str">
        <f aca="false">IF(COUNT(C14:N14)=0,"",SUM(C14:N14))</f>
        <v/>
      </c>
    </row>
    <row r="15" customFormat="false" ht="15" hidden="false" customHeight="false" outlineLevel="0" collapsed="false">
      <c r="A15" s="13" t="n">
        <v>46301</v>
      </c>
      <c r="B15" s="7" t="s">
        <v>165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21" t="str">
        <f aca="false">IF(COUNT(C15:N15)=0,"",SUM(C15:N15))</f>
        <v/>
      </c>
    </row>
    <row r="16" customFormat="false" ht="15" hidden="false" customHeight="false" outlineLevel="0" collapsed="false">
      <c r="A16" s="13" t="n">
        <v>46304</v>
      </c>
      <c r="B16" s="7" t="s">
        <v>165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21" t="str">
        <f aca="false">IF(COUNT(C16:N16)=0,"",SUM(C16:N16))</f>
        <v/>
      </c>
    </row>
    <row r="17" customFormat="false" ht="15" hidden="false" customHeight="false" outlineLevel="0" collapsed="false">
      <c r="A17" s="13" t="n">
        <v>46308</v>
      </c>
      <c r="B17" s="7" t="s">
        <v>165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21" t="str">
        <f aca="false">IF(COUNT(C17:N17)=0,"",SUM(C17:N17))</f>
        <v/>
      </c>
    </row>
    <row r="18" customFormat="false" ht="15" hidden="false" customHeight="false" outlineLevel="0" collapsed="false">
      <c r="A18" s="13" t="n">
        <v>46311</v>
      </c>
      <c r="B18" s="7" t="s">
        <v>165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21" t="str">
        <f aca="false">IF(COUNT(C18:N18)=0,"",SUM(C18:N18))</f>
        <v/>
      </c>
    </row>
    <row r="19" customFormat="false" ht="15" hidden="false" customHeight="false" outlineLevel="0" collapsed="false">
      <c r="A19" s="13" t="n">
        <v>46315</v>
      </c>
      <c r="B19" s="7" t="s">
        <v>165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21" t="str">
        <f aca="false">IF(COUNT(C19:N19)=0,"",SUM(C19:N19))</f>
        <v/>
      </c>
    </row>
    <row r="20" customFormat="false" ht="15" hidden="false" customHeight="false" outlineLevel="0" collapsed="false">
      <c r="A20" s="13" t="n">
        <v>46318</v>
      </c>
      <c r="B20" s="7" t="s">
        <v>165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21" t="str">
        <f aca="false">IF(COUNT(C20:N20)=0,"",SUM(C20:N20))</f>
        <v/>
      </c>
    </row>
    <row r="21" customFormat="false" ht="15" hidden="false" customHeight="false" outlineLevel="0" collapsed="false">
      <c r="A21" s="13" t="n">
        <v>46322</v>
      </c>
      <c r="B21" s="7" t="s">
        <v>165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21" t="str">
        <f aca="false">IF(COUNT(C21:N21)=0,"",SUM(C21:N21))</f>
        <v/>
      </c>
    </row>
    <row r="22" customFormat="false" ht="15" hidden="false" customHeight="false" outlineLevel="0" collapsed="false">
      <c r="A22" s="13" t="n">
        <v>46325</v>
      </c>
      <c r="B22" s="7" t="s">
        <v>165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21" t="str">
        <f aca="false">IF(COUNT(C22:N22)=0,"",SUM(C22:N22))</f>
        <v/>
      </c>
    </row>
    <row r="23" customFormat="false" ht="15" hidden="false" customHeight="false" outlineLevel="0" collapsed="false">
      <c r="A23" s="13" t="n">
        <v>46329</v>
      </c>
      <c r="B23" s="7" t="s">
        <v>165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21" t="str">
        <f aca="false">IF(COUNT(C23:N23)=0,"",SUM(C23:N23))</f>
        <v/>
      </c>
    </row>
    <row r="24" customFormat="false" ht="15" hidden="false" customHeight="false" outlineLevel="0" collapsed="false">
      <c r="A24" s="13" t="n">
        <v>46332</v>
      </c>
      <c r="B24" s="7" t="s">
        <v>165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21" t="str">
        <f aca="false">IF(COUNT(C24:N24)=0,"",SUM(C24:N24))</f>
        <v/>
      </c>
    </row>
    <row r="25" customFormat="false" ht="15" hidden="false" customHeight="false" outlineLevel="0" collapsed="false">
      <c r="A25" s="13" t="n">
        <v>46336</v>
      </c>
      <c r="B25" s="7" t="s">
        <v>165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21" t="str">
        <f aca="false">IF(COUNT(C25:N25)=0,"",SUM(C25:N25))</f>
        <v/>
      </c>
    </row>
    <row r="26" customFormat="false" ht="15" hidden="false" customHeight="false" outlineLevel="0" collapsed="false">
      <c r="A26" s="13" t="n">
        <v>46339</v>
      </c>
      <c r="B26" s="7" t="s">
        <v>165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21" t="str">
        <f aca="false">IF(COUNT(C26:N26)=0,"",SUM(C26:N26))</f>
        <v/>
      </c>
    </row>
    <row r="27" customFormat="false" ht="15" hidden="false" customHeight="false" outlineLevel="0" collapsed="false">
      <c r="A27" s="13" t="n">
        <v>46343</v>
      </c>
      <c r="B27" s="7" t="s">
        <v>165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21" t="str">
        <f aca="false">IF(COUNT(C27:N27)=0,"",SUM(C27:N27))</f>
        <v/>
      </c>
    </row>
    <row r="28" customFormat="false" ht="15" hidden="false" customHeight="false" outlineLevel="0" collapsed="false">
      <c r="A28" s="13" t="n">
        <v>46346</v>
      </c>
      <c r="B28" s="7" t="s">
        <v>165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21" t="str">
        <f aca="false">IF(COUNT(C28:N28)=0,"",SUM(C28:N28))</f>
        <v/>
      </c>
    </row>
    <row r="29" customFormat="false" ht="15" hidden="false" customHeight="false" outlineLevel="0" collapsed="false">
      <c r="A29" s="13" t="n">
        <v>46350</v>
      </c>
      <c r="B29" s="7" t="s">
        <v>165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21" t="str">
        <f aca="false">IF(COUNT(C29:N29)=0,"",SUM(C29:N29))</f>
        <v/>
      </c>
    </row>
    <row r="30" customFormat="false" ht="15" hidden="false" customHeight="false" outlineLevel="0" collapsed="false">
      <c r="A30" s="13" t="n">
        <v>46353</v>
      </c>
      <c r="B30" s="7" t="s">
        <v>165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21" t="str">
        <f aca="false">IF(COUNT(C30:N30)=0,"",SUM(C30:N30))</f>
        <v/>
      </c>
    </row>
    <row r="31" customFormat="false" ht="15" hidden="false" customHeight="false" outlineLevel="0" collapsed="false">
      <c r="A31" s="13" t="n">
        <v>46357</v>
      </c>
      <c r="B31" s="7" t="s">
        <v>165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21" t="str">
        <f aca="false">IF(COUNT(C31:N31)=0,"",SUM(C31:N31))</f>
        <v/>
      </c>
    </row>
    <row r="32" customFormat="false" ht="15" hidden="false" customHeight="false" outlineLevel="0" collapsed="false">
      <c r="A32" s="13" t="n">
        <v>46360</v>
      </c>
      <c r="B32" s="7" t="s">
        <v>165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21" t="str">
        <f aca="false">IF(COUNT(C32:N32)=0,"",SUM(C32:N32))</f>
        <v/>
      </c>
    </row>
    <row r="33" customFormat="false" ht="15" hidden="false" customHeight="false" outlineLevel="0" collapsed="false">
      <c r="A33" s="13" t="n">
        <v>46367</v>
      </c>
      <c r="B33" s="7" t="s">
        <v>165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21" t="str">
        <f aca="false">IF(COUNT(C33:N33)=0,"",SUM(C33:N33))</f>
        <v/>
      </c>
    </row>
    <row r="34" customFormat="false" ht="15" hidden="false" customHeight="false" outlineLevel="0" collapsed="false">
      <c r="A34" s="13" t="n">
        <v>46371</v>
      </c>
      <c r="B34" s="7" t="s">
        <v>165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21" t="str">
        <f aca="false">IF(COUNT(C34:N34)=0,"",SUM(C34:N34))</f>
        <v/>
      </c>
    </row>
    <row r="35" customFormat="false" ht="15" hidden="false" customHeight="false" outlineLevel="0" collapsed="false">
      <c r="A35" s="13" t="n">
        <v>46374</v>
      </c>
      <c r="B35" s="7" t="s">
        <v>165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21" t="str">
        <f aca="false">IF(COUNT(C35:N35)=0,"",SUM(C35:N35))</f>
        <v/>
      </c>
    </row>
    <row r="36" customFormat="false" ht="15" hidden="false" customHeight="false" outlineLevel="0" collapsed="false">
      <c r="A36" s="13" t="n">
        <v>46385</v>
      </c>
      <c r="B36" s="7" t="s">
        <v>166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21" t="str">
        <f aca="false">IF(COUNT(C36:N36)=0,"",SUM(C36:N36))</f>
        <v/>
      </c>
    </row>
    <row r="37" customFormat="false" ht="15" hidden="false" customHeight="false" outlineLevel="0" collapsed="false">
      <c r="A37" s="13" t="n">
        <v>46392</v>
      </c>
      <c r="B37" s="7" t="s">
        <v>166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21" t="str">
        <f aca="false">IF(COUNT(C37:N37)=0,"",SUM(C37:N37))</f>
        <v/>
      </c>
    </row>
    <row r="38" customFormat="false" ht="15" hidden="false" customHeight="false" outlineLevel="0" collapsed="false">
      <c r="A38" s="13" t="n">
        <v>46395</v>
      </c>
      <c r="B38" s="7" t="s">
        <v>166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21" t="str">
        <f aca="false">IF(COUNT(C38:N38)=0,"",SUM(C38:N38))</f>
        <v/>
      </c>
    </row>
    <row r="39" customFormat="false" ht="15" hidden="false" customHeight="false" outlineLevel="0" collapsed="false">
      <c r="A39" s="13" t="n">
        <v>46399</v>
      </c>
      <c r="B39" s="7" t="s">
        <v>167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21" t="str">
        <f aca="false">IF(COUNT(C39:N39)=0,"",SUM(C39:N39))</f>
        <v/>
      </c>
    </row>
    <row r="40" customFormat="false" ht="15" hidden="false" customHeight="false" outlineLevel="0" collapsed="false">
      <c r="A40" s="13" t="n">
        <v>46402</v>
      </c>
      <c r="B40" s="7" t="s">
        <v>167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21" t="str">
        <f aca="false">IF(COUNT(C40:N40)=0,"",SUM(C40:N40))</f>
        <v/>
      </c>
    </row>
    <row r="41" customFormat="false" ht="15" hidden="false" customHeight="false" outlineLevel="0" collapsed="false">
      <c r="A41" s="13" t="n">
        <v>46406</v>
      </c>
      <c r="B41" s="7" t="s">
        <v>167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21" t="str">
        <f aca="false">IF(COUNT(C41:N41)=0,"",SUM(C41:N41))</f>
        <v/>
      </c>
    </row>
    <row r="42" customFormat="false" ht="15" hidden="false" customHeight="false" outlineLevel="0" collapsed="false">
      <c r="A42" s="13" t="n">
        <v>46409</v>
      </c>
      <c r="B42" s="7" t="s">
        <v>167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21" t="str">
        <f aca="false">IF(COUNT(C42:N42)=0,"",SUM(C42:N42))</f>
        <v/>
      </c>
    </row>
    <row r="43" customFormat="false" ht="15" hidden="false" customHeight="false" outlineLevel="0" collapsed="false">
      <c r="A43" s="13" t="n">
        <v>46413</v>
      </c>
      <c r="B43" s="7" t="s">
        <v>167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21" t="str">
        <f aca="false">IF(COUNT(C43:N43)=0,"",SUM(C43:N43))</f>
        <v/>
      </c>
    </row>
    <row r="44" customFormat="false" ht="15" hidden="false" customHeight="false" outlineLevel="0" collapsed="false">
      <c r="A44" s="13" t="n">
        <v>46416</v>
      </c>
      <c r="B44" s="7" t="s">
        <v>167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21" t="str">
        <f aca="false">IF(COUNT(C44:N44)=0,"",SUM(C44:N44))</f>
        <v/>
      </c>
    </row>
    <row r="45" customFormat="false" ht="15" hidden="false" customHeight="false" outlineLevel="0" collapsed="false">
      <c r="A45" s="13" t="n">
        <v>46420</v>
      </c>
      <c r="B45" s="7" t="s">
        <v>167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21" t="str">
        <f aca="false">IF(COUNT(C45:N45)=0,"",SUM(C45:N45))</f>
        <v/>
      </c>
    </row>
    <row r="46" customFormat="false" ht="15" hidden="false" customHeight="false" outlineLevel="0" collapsed="false">
      <c r="A46" s="13" t="n">
        <v>46423</v>
      </c>
      <c r="B46" s="7" t="s">
        <v>167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21" t="str">
        <f aca="false">IF(COUNT(C46:N46)=0,"",SUM(C46:N46))</f>
        <v/>
      </c>
    </row>
    <row r="47" customFormat="false" ht="15" hidden="false" customHeight="false" outlineLevel="0" collapsed="false">
      <c r="A47" s="13" t="n">
        <v>46427</v>
      </c>
      <c r="B47" s="7" t="s">
        <v>167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21" t="str">
        <f aca="false">IF(COUNT(C47:N47)=0,"",SUM(C47:N47))</f>
        <v/>
      </c>
    </row>
    <row r="48" customFormat="false" ht="15" hidden="false" customHeight="false" outlineLevel="0" collapsed="false">
      <c r="A48" s="13" t="n">
        <v>46430</v>
      </c>
      <c r="B48" s="7" t="s">
        <v>167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21" t="str">
        <f aca="false">IF(COUNT(C48:N48)=0,"",SUM(C48:N48))</f>
        <v/>
      </c>
    </row>
    <row r="49" customFormat="false" ht="15" hidden="false" customHeight="false" outlineLevel="0" collapsed="false">
      <c r="A49" s="13" t="n">
        <v>46434</v>
      </c>
      <c r="B49" s="7" t="s">
        <v>167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21" t="str">
        <f aca="false">IF(COUNT(C49:N49)=0,"",SUM(C49:N49))</f>
        <v/>
      </c>
    </row>
    <row r="50" customFormat="false" ht="15" hidden="false" customHeight="false" outlineLevel="0" collapsed="false">
      <c r="A50" s="13" t="n">
        <v>46437</v>
      </c>
      <c r="B50" s="7" t="s">
        <v>167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21" t="str">
        <f aca="false">IF(COUNT(C50:N50)=0,"",SUM(C50:N50))</f>
        <v/>
      </c>
    </row>
    <row r="51" customFormat="false" ht="15" hidden="false" customHeight="false" outlineLevel="0" collapsed="false">
      <c r="A51" s="13" t="n">
        <v>46441</v>
      </c>
      <c r="B51" s="7" t="s">
        <v>167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21" t="str">
        <f aca="false">IF(COUNT(C51:N51)=0,"",SUM(C51:N51))</f>
        <v/>
      </c>
    </row>
    <row r="52" customFormat="false" ht="15" hidden="false" customHeight="false" outlineLevel="0" collapsed="false">
      <c r="A52" s="13" t="n">
        <v>46444</v>
      </c>
      <c r="B52" s="7" t="s">
        <v>167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21" t="str">
        <f aca="false">IF(COUNT(C52:N52)=0,"",SUM(C52:N52))</f>
        <v/>
      </c>
    </row>
    <row r="53" customFormat="false" ht="15" hidden="false" customHeight="false" outlineLevel="0" collapsed="false">
      <c r="A53" s="13" t="n">
        <v>46448</v>
      </c>
      <c r="B53" s="7" t="s">
        <v>167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21" t="str">
        <f aca="false">IF(COUNT(C53:N53)=0,"",SUM(C53:N53))</f>
        <v/>
      </c>
    </row>
    <row r="54" customFormat="false" ht="15" hidden="false" customHeight="false" outlineLevel="0" collapsed="false">
      <c r="A54" s="13" t="n">
        <v>46451</v>
      </c>
      <c r="B54" s="7" t="s">
        <v>167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21" t="str">
        <f aca="false">IF(COUNT(C54:N54)=0,"",SUM(C54:N54))</f>
        <v/>
      </c>
    </row>
    <row r="55" customFormat="false" ht="15" hidden="false" customHeight="false" outlineLevel="0" collapsed="false">
      <c r="A55" s="13" t="n">
        <v>46455</v>
      </c>
      <c r="B55" s="7" t="s">
        <v>167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21" t="str">
        <f aca="false">IF(COUNT(C55:N55)=0,"",SUM(C55:N55))</f>
        <v/>
      </c>
    </row>
    <row r="56" customFormat="false" ht="15" hidden="false" customHeight="false" outlineLevel="0" collapsed="false">
      <c r="A56" s="13" t="n">
        <v>46458</v>
      </c>
      <c r="B56" s="7" t="s">
        <v>167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21" t="str">
        <f aca="false">IF(COUNT(C56:N56)=0,"",SUM(C56:N56))</f>
        <v/>
      </c>
    </row>
    <row r="57" customFormat="false" ht="15" hidden="false" customHeight="false" outlineLevel="0" collapsed="false">
      <c r="A57" s="13" t="n">
        <v>46462</v>
      </c>
      <c r="B57" s="7" t="s">
        <v>168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21" t="str">
        <f aca="false">IF(COUNT(C57:N57)=0,"",SUM(C57:N57))</f>
        <v/>
      </c>
    </row>
    <row r="58" customFormat="false" ht="15" hidden="false" customHeight="false" outlineLevel="0" collapsed="false">
      <c r="A58" s="13" t="n">
        <v>46465</v>
      </c>
      <c r="B58" s="7" t="s">
        <v>168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21" t="str">
        <f aca="false">IF(COUNT(C58:N58)=0,"",SUM(C58:N58))</f>
        <v/>
      </c>
    </row>
    <row r="59" customFormat="false" ht="15" hidden="false" customHeight="false" outlineLevel="0" collapsed="false">
      <c r="A59" s="13" t="n">
        <v>46469</v>
      </c>
      <c r="B59" s="7" t="s">
        <v>168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21" t="str">
        <f aca="false">IF(COUNT(C59:N59)=0,"",SUM(C59:N59))</f>
        <v/>
      </c>
    </row>
    <row r="60" customFormat="false" ht="15" hidden="false" customHeight="false" outlineLevel="0" collapsed="false">
      <c r="A60" s="13" t="n">
        <v>46476</v>
      </c>
      <c r="B60" s="7" t="s">
        <v>169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21" t="str">
        <f aca="false">IF(COUNT(C60:N60)=0,"",SUM(C60:N60))</f>
        <v/>
      </c>
    </row>
    <row r="61" customFormat="false" ht="15" hidden="false" customHeight="false" outlineLevel="0" collapsed="false">
      <c r="A61" s="13" t="n">
        <v>46479</v>
      </c>
      <c r="B61" s="7" t="s">
        <v>169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21" t="str">
        <f aca="false">IF(COUNT(C61:N61)=0,"",SUM(C61:N61))</f>
        <v/>
      </c>
    </row>
    <row r="62" customFormat="false" ht="15" hidden="false" customHeight="false" outlineLevel="0" collapsed="false">
      <c r="A62" s="13" t="n">
        <v>46483</v>
      </c>
      <c r="B62" s="7" t="s">
        <v>169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21" t="str">
        <f aca="false">IF(COUNT(C62:N62)=0,"",SUM(C62:N62))</f>
        <v/>
      </c>
    </row>
    <row r="63" customFormat="false" ht="15" hidden="false" customHeight="false" outlineLevel="0" collapsed="false">
      <c r="A63" s="13" t="n">
        <v>46486</v>
      </c>
      <c r="B63" s="7" t="s">
        <v>169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21" t="str">
        <f aca="false">IF(COUNT(C63:N63)=0,"",SUM(C63:N63))</f>
        <v/>
      </c>
    </row>
    <row r="64" customFormat="false" ht="15" hidden="false" customHeight="false" outlineLevel="0" collapsed="false">
      <c r="A64" s="13" t="n">
        <v>46490</v>
      </c>
      <c r="B64" s="7" t="s">
        <v>169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21" t="str">
        <f aca="false">IF(COUNT(C64:N64)=0,"",SUM(C64:N64))</f>
        <v/>
      </c>
    </row>
    <row r="65" customFormat="false" ht="15" hidden="false" customHeight="false" outlineLevel="0" collapsed="false">
      <c r="A65" s="13" t="n">
        <v>46493</v>
      </c>
      <c r="B65" s="7" t="s">
        <v>169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21" t="str">
        <f aca="false">IF(COUNT(C65:N65)=0,"",SUM(C65:N65))</f>
        <v/>
      </c>
    </row>
    <row r="66" customFormat="false" ht="15" hidden="false" customHeight="false" outlineLevel="0" collapsed="false">
      <c r="A66" s="13" t="n">
        <v>46497</v>
      </c>
      <c r="B66" s="7" t="s">
        <v>169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21" t="str">
        <f aca="false">IF(COUNT(C66:N66)=0,"",SUM(C66:N66))</f>
        <v/>
      </c>
    </row>
    <row r="67" customFormat="false" ht="15" hidden="false" customHeight="false" outlineLevel="0" collapsed="false">
      <c r="A67" s="13" t="n">
        <v>46500</v>
      </c>
      <c r="B67" s="7" t="s">
        <v>169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21" t="str">
        <f aca="false">IF(COUNT(C67:N67)=0,"",SUM(C67:N67))</f>
        <v/>
      </c>
    </row>
    <row r="68" customFormat="false" ht="15" hidden="false" customHeight="false" outlineLevel="0" collapsed="false">
      <c r="A68" s="13" t="n">
        <v>46504</v>
      </c>
      <c r="B68" s="7" t="s">
        <v>170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21" t="str">
        <f aca="false">IF(COUNT(C68:N68)=0,"",SUM(C68:N68))</f>
        <v/>
      </c>
    </row>
    <row r="69" customFormat="false" ht="15" hidden="false" customHeight="false" outlineLevel="0" collapsed="false">
      <c r="A69" s="13" t="n">
        <v>46507</v>
      </c>
      <c r="B69" s="7" t="s">
        <v>170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21" t="str">
        <f aca="false">IF(COUNT(C69:N69)=0,"",SUM(C69:N69))</f>
        <v/>
      </c>
    </row>
    <row r="70" customFormat="false" ht="15" hidden="false" customHeight="false" outlineLevel="0" collapsed="false">
      <c r="A70" s="13" t="n">
        <v>46511</v>
      </c>
      <c r="B70" s="7" t="s">
        <v>170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21" t="str">
        <f aca="false">IF(COUNT(C70:N70)=0,"",SUM(C70:N70))</f>
        <v/>
      </c>
    </row>
    <row r="71" customFormat="false" ht="15" hidden="false" customHeight="false" outlineLevel="0" collapsed="false">
      <c r="A71" s="13" t="n">
        <v>46514</v>
      </c>
      <c r="B71" s="7" t="s">
        <v>170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21" t="str">
        <f aca="false">IF(COUNT(C71:N71)=0,"",SUM(C71:N71))</f>
        <v/>
      </c>
    </row>
    <row r="72" customFormat="false" ht="15" hidden="false" customHeight="false" outlineLevel="0" collapsed="false">
      <c r="A72" s="13" t="n">
        <v>46518</v>
      </c>
      <c r="B72" s="7" t="s">
        <v>170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21" t="str">
        <f aca="false">IF(COUNT(C72:N72)=0,"",SUM(C72:N72))</f>
        <v/>
      </c>
    </row>
    <row r="73" customFormat="false" ht="15" hidden="false" customHeight="false" outlineLevel="0" collapsed="false">
      <c r="A73" s="13" t="n">
        <v>46521</v>
      </c>
      <c r="B73" s="7" t="s">
        <v>170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21" t="str">
        <f aca="false">IF(COUNT(C73:N73)=0,"",SUM(C73:N73))</f>
        <v/>
      </c>
    </row>
    <row r="74" customFormat="false" ht="15" hidden="false" customHeight="false" outlineLevel="0" collapsed="false">
      <c r="A74" s="13" t="n">
        <v>46525</v>
      </c>
      <c r="B74" s="7" t="s">
        <v>170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21" t="str">
        <f aca="false">IF(COUNT(C74:N74)=0,"",SUM(C74:N74))</f>
        <v/>
      </c>
    </row>
    <row r="75" customFormat="false" ht="15" hidden="false" customHeight="false" outlineLevel="0" collapsed="false">
      <c r="A75" s="13" t="n">
        <v>46528</v>
      </c>
      <c r="B75" s="7" t="s">
        <v>170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21" t="str">
        <f aca="false">IF(COUNT(C75:N75)=0,"",SUM(C75:N75))</f>
        <v/>
      </c>
    </row>
    <row r="76" customFormat="false" ht="15" hidden="false" customHeight="false" outlineLevel="0" collapsed="false">
      <c r="A76" s="13" t="n">
        <v>46532</v>
      </c>
      <c r="B76" s="7" t="s">
        <v>170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21" t="str">
        <f aca="false">IF(COUNT(C76:N76)=0,"",SUM(C76:N76))</f>
        <v/>
      </c>
    </row>
    <row r="77" customFormat="false" ht="15" hidden="false" customHeight="false" outlineLevel="0" collapsed="false">
      <c r="A77" s="13" t="n">
        <v>46535</v>
      </c>
      <c r="B77" s="7" t="s">
        <v>170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21" t="str">
        <f aca="false">IF(COUNT(C77:N77)=0,"",SUM(C77:N77))</f>
        <v/>
      </c>
    </row>
    <row r="79" customFormat="false" ht="15" hidden="false" customHeight="false" outlineLevel="0" collapsed="false">
      <c r="A79" s="23"/>
      <c r="B79" s="24" t="s">
        <v>173</v>
      </c>
      <c r="C79" s="17" t="n">
        <f aca="false">SUM(C5:C77)</f>
        <v>0</v>
      </c>
      <c r="D79" s="17" t="n">
        <f aca="false">SUM(D5:D77)</f>
        <v>0</v>
      </c>
      <c r="E79" s="17" t="n">
        <f aca="false">SUM(E5:E77)</f>
        <v>0</v>
      </c>
      <c r="F79" s="17" t="n">
        <f aca="false">SUM(F5:F77)</f>
        <v>0</v>
      </c>
      <c r="G79" s="17" t="n">
        <f aca="false">SUM(G5:G77)</f>
        <v>0</v>
      </c>
      <c r="H79" s="17" t="n">
        <f aca="false">SUM(H5:H77)</f>
        <v>0</v>
      </c>
      <c r="I79" s="17" t="n">
        <f aca="false">SUM(I5:I77)</f>
        <v>0</v>
      </c>
      <c r="J79" s="17" t="n">
        <f aca="false">SUM(J5:J77)</f>
        <v>0</v>
      </c>
      <c r="K79" s="17" t="n">
        <f aca="false">SUM(K5:K77)</f>
        <v>0</v>
      </c>
      <c r="L79" s="17" t="n">
        <f aca="false">SUM(L5:L77)</f>
        <v>0</v>
      </c>
      <c r="M79" s="17" t="n">
        <f aca="false">SUM(M5:M77)</f>
        <v>0</v>
      </c>
      <c r="N79" s="17" t="n">
        <f aca="false">SUM(N5:N77)</f>
        <v>0</v>
      </c>
    </row>
    <row r="80" customFormat="false" ht="15" hidden="false" customHeight="false" outlineLevel="0" collapsed="false">
      <c r="A80" s="23"/>
      <c r="B80" s="24" t="s">
        <v>174</v>
      </c>
      <c r="C80" s="34" t="str">
        <f aca="false">IFERROR(SUM(C5:C77)/COUNT(C5:C77),"")</f>
        <v/>
      </c>
      <c r="D80" s="34" t="str">
        <f aca="false">IFERROR(SUM(D5:D77)/COUNT(D5:D77),"")</f>
        <v/>
      </c>
      <c r="E80" s="34" t="str">
        <f aca="false">IFERROR(SUM(E5:E77)/COUNT(E5:E77),"")</f>
        <v/>
      </c>
      <c r="F80" s="34" t="str">
        <f aca="false">IFERROR(SUM(F5:F77)/COUNT(F5:F77),"")</f>
        <v/>
      </c>
      <c r="G80" s="34" t="str">
        <f aca="false">IFERROR(SUM(G5:G77)/COUNT(G5:G77),"")</f>
        <v/>
      </c>
      <c r="H80" s="34" t="str">
        <f aca="false">IFERROR(SUM(H5:H77)/COUNT(H5:H77),"")</f>
        <v/>
      </c>
      <c r="I80" s="34" t="str">
        <f aca="false">IFERROR(SUM(I5:I77)/COUNT(I5:I77),"")</f>
        <v/>
      </c>
      <c r="J80" s="34" t="str">
        <f aca="false">IFERROR(SUM(J5:J77)/COUNT(J5:J77),"")</f>
        <v/>
      </c>
      <c r="K80" s="34" t="str">
        <f aca="false">IFERROR(SUM(K5:K77)/COUNT(K5:K77),"")</f>
        <v/>
      </c>
      <c r="L80" s="34" t="str">
        <f aca="false">IFERROR(SUM(L5:L77)/COUNT(L5:L77),"")</f>
        <v/>
      </c>
      <c r="M80" s="34" t="str">
        <f aca="false">IFERROR(SUM(M5:M77)/COUNT(M5:M77),"")</f>
        <v/>
      </c>
      <c r="N80" s="34" t="str">
        <f aca="false">IFERROR(SUM(N5:N77)/COUNT(N5:N77),"")</f>
        <v/>
      </c>
    </row>
    <row r="82" customFormat="false" ht="15" hidden="false" customHeight="false" outlineLevel="0" collapsed="false">
      <c r="B82" s="10" t="s">
        <v>175</v>
      </c>
    </row>
  </sheetData>
  <conditionalFormatting sqref="C80:N80">
    <cfRule type="expression" priority="2" aboveAverage="0" equalAverage="0" bottom="0" percent="0" rank="0" text="" dxfId="1">
      <formula>AND(C80&lt;&gt;"",C80&lt;0.8)</formula>
    </cfRule>
    <cfRule type="expression" priority="3" aboveAverage="0" equalAverage="0" bottom="0" percent="0" rank="0" text="" dxfId="0">
      <formula>AND(C80&lt;&gt;"",C80&gt;=0.9)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2026-09-11T10:52:28Z</dcterms:created>
  <dc:creator>openpyxl</dc:creator>
  <dc:description/>
  <dc:language>en-US</dc:language>
  <cp:lastModifiedBy/>
  <dcterms:modified xsi:type="dcterms:W3CDTF">2026-09-11T10:52:28Z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